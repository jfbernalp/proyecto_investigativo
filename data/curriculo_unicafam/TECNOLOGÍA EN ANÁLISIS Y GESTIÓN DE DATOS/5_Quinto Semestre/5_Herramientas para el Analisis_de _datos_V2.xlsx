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30"/>
  <workbookPr/>
  <mc:AlternateContent xmlns:mc="http://schemas.openxmlformats.org/markup-compatibility/2006">
    <mc:Choice Requires="x15">
      <x15ac:absPath xmlns:x15ac="http://schemas.microsoft.com/office/spreadsheetml/2010/11/ac" url="https://unicafamnet-my.sharepoint.com/personal/danny_jimenez_unicafam_edu_co/Documents/Intersemestral/Actualizción curricular TAGD/5 semestre con cambios/"/>
    </mc:Choice>
  </mc:AlternateContent>
  <xr:revisionPtr revIDLastSave="81" documentId="8_{AF978C4D-9E29-4FC2-A952-0D2FA50D0A0B}" xr6:coauthVersionLast="47" xr6:coauthVersionMax="47" xr10:uidLastSave="{032F5C88-2022-4B7E-95DE-EA4CCA2656DA}"/>
  <bookViews>
    <workbookView xWindow="-120" yWindow="-120" windowWidth="29040" windowHeight="15720" xr2:uid="{EEA72003-2803-48AE-8D11-930F431766FD}"/>
  </bookViews>
  <sheets>
    <sheet name="7Herramientas para el Analisis" sheetId="1" r:id="rId1"/>
  </sheets>
  <externalReferences>
    <externalReference r:id="rId2"/>
    <externalReference r:id="rId3"/>
    <externalReference r:id="rId4"/>
    <externalReference r:id="rId5"/>
    <externalReference r:id="rId6"/>
  </externalReferences>
  <definedNames>
    <definedName name="Competencias">[1]MaestroCompetencias!$B$2:$B$11</definedName>
    <definedName name="CRÉDITOS">'[2]Códigos '!$AK$70:$AK$74</definedName>
    <definedName name="DatosCompleto">[3]MaestroUA!$B$2:$M$89</definedName>
    <definedName name="ingenieria">#REF!</definedName>
    <definedName name="_xlnm.Print_Area" localSheetId="0">'7Herramientas para el Analisis'!$B$2:$O$45</definedName>
    <definedName name="RedacciónRecurso">[4]MaestroRecursos!$B$2:$B$102</definedName>
    <definedName name="ResultadoAprendizaje">[1]MaestroResultadosA!$B$2:$B$12</definedName>
    <definedName name="Semestre">[5]asdf!$A$13:$A$20</definedName>
    <definedName name="TIPOLOGÍA">'[2]Códigos '!$AJ$70:$AJ$72</definedName>
    <definedName name="UnidadAcademica">[3]MaestroUA!$B$2:$B$89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8" i="1" l="1"/>
  <c r="M8" i="1" s="1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<sst xmlns="http://schemas.openxmlformats.org/spreadsheetml/2006/main" count="99" uniqueCount="87">
  <si>
    <t>FUNDACIÓN UNIVERSITARIA CAFAM</t>
  </si>
  <si>
    <t xml:space="preserve">MACROPROCESO MISIONAL
DOCENCIA
UNIDAD DE APRENDIZAJE </t>
  </si>
  <si>
    <t>CÓDIGO</t>
  </si>
  <si>
    <t>MIDOFO05</t>
  </si>
  <si>
    <t>VERSIÓN</t>
  </si>
  <si>
    <t>VIGENCIA</t>
  </si>
  <si>
    <t>PÁGINA</t>
  </si>
  <si>
    <t>1 de 1</t>
  </si>
  <si>
    <t xml:space="preserve">UNIDAD DE APRENDIZAJE </t>
  </si>
  <si>
    <t>NOMBRE UNIDAD DE APRENDIZAJE:</t>
  </si>
  <si>
    <t>HERRAMIENTAS PARA EL ANÁLISIS DE DATOS</t>
  </si>
  <si>
    <t>N° Créditos:</t>
  </si>
  <si>
    <t>TFD:</t>
  </si>
  <si>
    <t>TTI:</t>
  </si>
  <si>
    <t>MODALIDAD:</t>
  </si>
  <si>
    <t>PAT</t>
  </si>
  <si>
    <t>PROGRAMA:</t>
  </si>
  <si>
    <t>Tecnología en Análisis y Gestión de Datos</t>
  </si>
  <si>
    <t>SEMESTRE:</t>
  </si>
  <si>
    <t>V</t>
  </si>
  <si>
    <t>CÓDIGO:</t>
  </si>
  <si>
    <t>ÁREA DE FORMACIÓN:</t>
  </si>
  <si>
    <t>Específico</t>
  </si>
  <si>
    <t>JUSTIFICACIÓN:</t>
  </si>
  <si>
    <t xml:space="preserve">Las herramientas para el análisis de datos son fundamentales en la formación del profesional en ciencia de datos, ya que les brindan los conocimientos y competencias necesarias para transformar grandes volúmenes de datos en información significativa y útil para la toma de decisiones. Mediante el dominio de herramientas especializadas, el estudiante podrá abordar de manera sistemática el ciclo completo del análisis de datos: desde la recolección, limpieza y transformación, hasta la exploración, modelado básico y visualización.  Estas herramientas no solo optimizan los procesos técnicos, sino que también fortalecen la capacidad de generar insights accionables y estratégicos que aporten valor a las organizaciones.
</t>
  </si>
  <si>
    <t xml:space="preserve">COMPETENCIA </t>
  </si>
  <si>
    <t>SABERES ESPECÍFICOS
(saber)</t>
  </si>
  <si>
    <t xml:space="preserve">HABILIDADES O DESTREZAS 
(saber hacer) </t>
  </si>
  <si>
    <t xml:space="preserve">ACTITUDES 
(saber ser) </t>
  </si>
  <si>
    <t xml:space="preserve">APRENDER A APRENDER </t>
  </si>
  <si>
    <t>Gestionar datos para proveer la información requerida por los diferentes grupos de interés de la organización.</t>
  </si>
  <si>
    <t>1. Principios del data storytelling: estructura narrativa, contexto, audiencia y mensaje en la comunicación basada en datos.
2. Diseño y elaboración de visualizaciones efectivas con bibliotecas de Python como Matplotlib, Seaborn y Plotly.
3. Creación de informes interactivos y dashboards con herramientas como Power BI, Tableau y Google Data Studio.
4. Documentación y presentación de análisis en entornos interactivos como Jupyter Notebook y Google Colab
5. Automatización de procesos de análisis para la generación de reportes reproducibles con Python scripting.
6. Control de versiones y trabajo colaborativo de proyectos analíticos con Git y GitHub.
7. Gestión de entornos virtuales y buenas prácticas en organización de proyectos analíticos (conda, virtualenv).
8. Ética en la comunicación de datos: integridad, transparencia, representación visual honesta y accesibilidad del mensaje.</t>
  </si>
  <si>
    <t xml:space="preserve">• Diseñar visualizaciones claras, coherentes y orientadas al mensaje, utilizando bibliotecas como Matplotlib, Seaborn o Plotly.
• Construir dashboards interactivos o informes en herramientas como Power BI, Tableau o Google Data Studio, adaptados a diferentes audiencias.
• Integrar narrativas y visualizaciones dentro de notebooks interactivos (Jupyter, Colab) para documentar y presentar procesos analíticos de manera estructurada.
• Automatizar la generación de reportes con scripts en Python, incorporando principios de reproducibilidad y eficiencia.
• Documentar, versionar y colaborar en proyectos de análisis de datos utilizando Git y GitHub, aplicando buenas prácticas de organización del código
• Comunicar hallazgos relevantes a partir de datos, utilizando recursos visuales, narrativos y técnicos de manera integrada
• Identificar y aplicar principios éticos en la presentación de datos, evitando sesgos visuales y garantizando la claridad, honestidad y transparencia del mensaje.
</t>
  </si>
  <si>
    <t>Puntualidad en la entrega de las informaciones solicitadas.
Realiza las presentaciones de información y sus documentos en un lenguaje adecuado y coherente de acuerdo al tema.
Muestra  interés por el uso de tecnologías  propuestas  para el aprendizaje  de la analítica de datos.
Respeta y acepta los aportes de sus compañeros en las actividades grupales.</t>
  </si>
  <si>
    <t>Reconoce que el tema de analítica de datos esta evolucionando, por lo que debe estar actualizándose sobre los avances de los temas.
Busca diferentes definiciones y ecuaciones de los temas que se darán en clase  para establecer su propio concepto
Utiliza los manuales y videos tutoriales para mejorarse habilidad en  el usos de la herramientas tecnológicas.</t>
  </si>
  <si>
    <t xml:space="preserve">RESULTADO DE APREDIZAJE DEL PROGRAMA </t>
  </si>
  <si>
    <t xml:space="preserve">RESULTADOS DE APRENDIZAJE DE LA UNIDAD DE APZ </t>
  </si>
  <si>
    <t xml:space="preserve">CRITERIOS DE EVALUACIÓN </t>
  </si>
  <si>
    <t xml:space="preserve">ESTRATEGIAS DE EVALUACIÓN </t>
  </si>
  <si>
    <t>EVIDENCIAS DE CONOCIMIENTO</t>
  </si>
  <si>
    <t>EVIDENCIAS DE DESEMPEÑO</t>
  </si>
  <si>
    <t>EVIDENCIAS DE PRODUCTO</t>
  </si>
  <si>
    <t xml:space="preserve">METODOLOGIA:  ACTIVIDADES Y  ESTRATEGIAS  </t>
  </si>
  <si>
    <t xml:space="preserve">Nivel  Alto </t>
  </si>
  <si>
    <t xml:space="preserve">Nivel Medio </t>
  </si>
  <si>
    <t>Nivel bajo</t>
  </si>
  <si>
    <t>Utiliza herramientas tecnológicas para el análisis de datos.</t>
  </si>
  <si>
    <t>Desarrolla narrativas visuales claras y efectivas a partir de conjuntos de datos, utilizando herramientas de visualización</t>
  </si>
  <si>
    <t>Elabora narrativas visuales con estructura lógica, integrando visualizaciones pertinentes y estéticamente cuidadas; adapta el mensaje al público objetivo con alto grado de claridad, rigor y creatividad.</t>
  </si>
  <si>
    <t>Presenta visualizaciones comprensibles y coherentes con el análisis; la narrativa es clara pero con mejoras posibles en estructura, profundidad o diseño</t>
  </si>
  <si>
    <t>Utiliza visualizaciones poco claras, desorganizadas o mal adaptadas al público; la narrativa es incompleta o confusa, con bajo nivel de integración entre datos y mensaje</t>
  </si>
  <si>
    <t>Aprendizaje Basado en Problemas 
Aprendizaje Basado en Proyecto</t>
  </si>
  <si>
    <t>Para evaluar el conocimiento adquirido en el desarrollo del problema o proyecto, se utilizará una rúbrica como herramienta principal de evaluación. Esta rúbrica considerará aspectos como:
A) Claridad y precisión en la presentación de la información.
B)Profundidad del análisis
 C) Aplicación práctica de los conocimientos previos y adquiridos en el desarrollo de la Unidad de Aprendizaje
D) La transferencia de conocimientos adquiridos a lo largo de las las fases del problema, proyecto o caso 
E)  Calidad y pertinencia de las fuentes consultadas.</t>
  </si>
  <si>
    <t>Con la rúbrica como herramienta de evaluación del desempeño se evidenciará:
A.) Responsabilidad
B.) Debate de ideas
C.) Diseño de planes y/o experimentos
D.) Recolección y análisis de datos
E.) Manejo de recursos disponibles, como el tiempo, los materiales y equipos
F.) Trabajo colaborativo
H.) Capacidad de planificación, ejecución y evaluación
I.) Autonomía
J.) Habilidades metacognitivas, como autodirección y autoevaluación
K.) Habilidades tecnológicas
L.) Integración de conceptos y conocimientos previos</t>
  </si>
  <si>
    <t>Utilizando la rúbrica como herramienta de evaluación, se evidenciará el seguimiento progresivo y el cumplimiento gradual de los objetivos planteados en el problema o  proyecto  en los entregables. a travez de:
Productos Tangibles:
Prototipos, modelos, artefactos físicos o digitales desarrollados como resultado del proyecto.
Informes, documentos técnicos, manuales o presentaciones que documentan el proceso y los resultados del proyecto.
Presentaciones o Demostraciones:
Exposiciones públicas, presentaciones orales o demostraciones ante compañeros, profesores o evaluadores externos.
Defensa de resultados ante un panel de expertos.
Portafolios:
Recopilación de trabajos, diseños, análisis, investigaciones y reflexiones relacionadas con el proyecto.
Puede incluir evidencia de la planificación, el proceso de ejecución, los resultados obtenidos y las lecciones aprendidas.
Entregables Finales:
Documentos finales que resumen los hallazgos, conclusiones y recomendaciones del proyecto.
Productos finales que cumplen con los objetivos y criterios establecidos al inicio del proyecto.
Impacto o Aplicación Práctica:
Pruebas de concepto, implementaciones piloto o evidencia de la aplicación práctica de los resultados del proyecto en situaciones reales.</t>
  </si>
  <si>
    <r>
      <t xml:space="preserve">Se establecen las siguientes fases para las actividades de aprendizaje:
</t>
    </r>
    <r>
      <rPr>
        <b/>
        <sz val="11"/>
        <color rgb="FF000000"/>
        <rFont val="Aptos Narrow"/>
        <family val="2"/>
        <scheme val="minor"/>
      </rPr>
      <t xml:space="preserve">Aprendizaje Basado en Problemas. </t>
    </r>
    <r>
      <rPr>
        <sz val="11"/>
        <color rgb="FF000000"/>
        <rFont val="Aptos Narrow"/>
        <family val="2"/>
        <scheme val="minor"/>
      </rPr>
      <t xml:space="preserve">
1. Leer y analizar el escenario o situación problema.
2. Identificar los objetivos de aprendizaje.
3. Identificar el conocimiento necesario previo y, reconocer saberes que requieren mayor profundización para lograr su solución.
4. Elaborar un esquema o representación que le permita comprender el problema.
5. Elaborar un diagnóstico que le permita una aproximación a la solución del problema.
6. Elaborar un plan de trabajo para abordar el problema.
7. Recopilar información sobre el problema.
8. Analizar la información recogida
9. Plantear los posibles resultados y evaluar su capacidad para abordar el problema
10. Desarrollar procesos de retroalimentación que lo lleven a verificar la solución del problema o nuevas hipótesis 
11. Reflexionar sobre el desempeño individual y grupal durante el desarrollo de la actividad.
</t>
    </r>
    <r>
      <rPr>
        <b/>
        <sz val="11"/>
        <color rgb="FF000000"/>
        <rFont val="Aptos Narrow"/>
        <family val="2"/>
        <scheme val="minor"/>
      </rPr>
      <t>Aprendizaje Basado en Proyectos</t>
    </r>
    <r>
      <rPr>
        <sz val="11"/>
        <color rgb="FF000000"/>
        <rFont val="Aptos Narrow"/>
        <family val="2"/>
        <scheme val="minor"/>
      </rPr>
      <t xml:space="preserve">
Fase 0: 
Presentación, lineamientos del Proyecto e indicaciones básicas procedimentales del proyecto
Fase 1:
1.1. Planeación: Plan de trabajo del equipo
1.2. Investigación: Plantear objetivos, buscar información y realizar experimentos/laboratorios.
1.3. Consulta: contactar otros profesores y buscar soporte técnico.
1.4. Entregable Fase 1
Fase 2:
2.1. Diseño y Simulaciones
2.2. Integración - Construcción
2.3. Pruebas
2.4. Entregable Fase 2
Fase 3:
3.1. Revisión y correción de fallas o errores
3.2. Presentación 
3.3. Demostración
3.4. Entregable Final: Informe final del Proyecto</t>
    </r>
  </si>
  <si>
    <t>Implementa flujos de trabajo reproducibles y documentados para el análisis de datos, integrando scripting, visualización y versionamiento de código.</t>
  </si>
  <si>
    <t>Desarrolla scripts o notebooks con estructura modular, documentación detallada, control de versiones funcional y generación automatizada de visualizaciones e informes.</t>
  </si>
  <si>
    <t>El flujo de trabajo está bien organizado y parcialmente documentado; se utilizan scripts funcionales, aunque con oportunidades de mejora en claridad o automatización.</t>
  </si>
  <si>
    <t>El flujo de trabajo carece de organización o reproducibilidad; la documentación es mínima o inexistente y el código presenta dificultades de interpretación</t>
  </si>
  <si>
    <t>Aplica principios éticos en la representación y comunicación de datos, asegurando transparencia, claridad y responsabilidad en los mensajes transmitido</t>
  </si>
  <si>
    <t>Identifica y gestiona activamente riesgos éticos en el análisis y visualización de datos; comunica hallazgos con total transparencia, evitando sesgos visuales y manipulaciones</t>
  </si>
  <si>
    <t>Reconoce principios éticos básicos en la comunicación de datos y los aplica parcialmente; comete algunos errores menores en la representación visual o el contexto</t>
  </si>
  <si>
    <t>Presenta datos sin considerar implicaciones éticas; omite información relevante, utiliza representaciones inadecuadas o transmite mensajes ambiguos o sesgados</t>
  </si>
  <si>
    <t xml:space="preserve">RECURSOS DE APOYO </t>
  </si>
  <si>
    <t>Aula virtual
Software https://www.python.org
Software https://www.mathworks.com/products/matlab.html
Software GeoGebra License; Non-commercial freeware; portions under General Public License (GPL).Wolfram alpha recursos gratuitos 
Sala móvil de equipos pórtatiles
Microsoft 365, incluye Microsoft Office (Word, Excel, PowerPoint, Publisher, Access, Power BI, OneNote, Outlook, Project y Visio), Licencia Universitaria.
Enginnering plus (gale)
Science infomation (gale)
Computer Science (gale)
E-Collection (ISO) (iCONTEC)</t>
  </si>
  <si>
    <t xml:space="preserve">BIBLIOGRAFÍA  </t>
  </si>
  <si>
    <t>J.Schmuller. Statistical Analysis with R For Dummies. Wiley 2017. J.Schmuller. Statistical Analysis with Excel. Wiley 2017.
K. Sheppard. Introduction to Python for Econometrics, Statistics and Data Analysis. Wiley 2014.
E. Ming Hui. Learn R for Applied StatisticsWith Data Visualizations, Regressions, and Statistics. Apress 2019.
J. Pallant.. SPSS Survivol Manuals. Mc Graw Hills 2019.</t>
  </si>
  <si>
    <t>CONTROL DE CAMBIOS</t>
  </si>
  <si>
    <t>FECHA DE APROBACIÓN</t>
  </si>
  <si>
    <t>DESCRIPCIÓN DEL CAMBIO</t>
  </si>
  <si>
    <t>DD</t>
  </si>
  <si>
    <t>MM</t>
  </si>
  <si>
    <t>AAAA</t>
  </si>
  <si>
    <t>Creación del Documento</t>
  </si>
  <si>
    <t>CONTROL DE DOCUMENTOS</t>
  </si>
  <si>
    <t>ELABORO</t>
  </si>
  <si>
    <t>NOMBRES Y APELLIDOS</t>
  </si>
  <si>
    <t>CARGO</t>
  </si>
  <si>
    <t>FIRMA</t>
  </si>
  <si>
    <t>REVISO</t>
  </si>
  <si>
    <t>Miller Alexander Quiroga Campos</t>
  </si>
  <si>
    <t>Profesor de Ciencia de Datos y TAGD</t>
  </si>
  <si>
    <t>Miller A. Quiroga Campos</t>
  </si>
  <si>
    <t>Danny Aldemar Jiménez Martín</t>
  </si>
  <si>
    <t>Danny Jiménez</t>
  </si>
  <si>
    <t>APROBÓ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</si>
</sst>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000000"/>
      <name val="Verdana"/>
      <family val="2"/>
    </font>
    <font>
      <b/>
      <sz val="11"/>
      <color rgb="FFFFFFFF"/>
      <name val="Verdana"/>
      <family val="2"/>
    </font>
    <font>
      <b/>
      <sz val="11"/>
      <color rgb="FF000000"/>
      <name val="Verdana"/>
      <family val="2"/>
    </font>
    <font>
      <b/>
      <sz val="12"/>
      <color theme="1"/>
      <name val="Aptos Narrow"/>
      <family val="2"/>
      <scheme val="minor"/>
    </font>
    <font>
      <b/>
      <sz val="12"/>
      <color rgb="FF000000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sz val="11"/>
      <color rgb="FF000000"/>
      <name val="Aptos Narrow"/>
      <family val="2"/>
      <scheme val="minor"/>
    </font>
    <font>
      <b/>
      <sz val="11"/>
      <name val="Aptos Narrow"/>
      <family val="2"/>
      <scheme val="minor"/>
    </font>
    <font>
      <sz val="11"/>
      <name val="Aptos Narrow"/>
      <family val="2"/>
      <scheme val="minor"/>
    </font>
    <font>
      <b/>
      <sz val="11"/>
      <color theme="0"/>
      <name val="Verdana"/>
      <family val="2"/>
    </font>
    <font>
      <sz val="11"/>
      <color theme="1"/>
      <name val="Verdana"/>
      <family val="2"/>
    </font>
    <font>
      <sz val="16"/>
      <color theme="1"/>
      <name val="Vladimir Script"/>
      <family val="4"/>
    </font>
    <font>
      <sz val="16"/>
      <color rgb="FF000000"/>
      <name val="Vladimir Script"/>
    </font>
  </fonts>
  <fills count="8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BCD7EE"/>
        <bgColor indexed="64"/>
      </patternFill>
    </fill>
    <fill>
      <patternFill patternType="solid">
        <fgColor rgb="FF1F4E78"/>
        <bgColor rgb="FF000000"/>
      </patternFill>
    </fill>
    <fill>
      <patternFill patternType="solid">
        <fgColor rgb="FF1F4E78"/>
        <bgColor indexed="64"/>
      </patternFill>
    </fill>
    <fill>
      <patternFill patternType="solid">
        <fgColor rgb="FFFFFFFF"/>
        <bgColor rgb="FF000000"/>
      </patternFill>
    </fill>
  </fills>
  <borders count="4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auto="1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auto="1"/>
      </left>
      <right/>
      <top style="thin">
        <color auto="1"/>
      </top>
      <bottom style="medium">
        <color indexed="64"/>
      </bottom>
      <diagonal/>
    </border>
    <border>
      <left/>
      <right/>
      <top style="thin">
        <color auto="1"/>
      </top>
      <bottom style="medium">
        <color indexed="64"/>
      </bottom>
      <diagonal/>
    </border>
    <border>
      <left/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auto="1"/>
      </bottom>
      <diagonal/>
    </border>
    <border>
      <left/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medium">
        <color indexed="64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25">
    <xf numFmtId="0" fontId="0" fillId="0" borderId="0" xfId="0"/>
    <xf numFmtId="0" fontId="3" fillId="0" borderId="1" xfId="0" applyFont="1" applyBorder="1" applyAlignment="1">
      <alignment horizontal="center" vertical="center" wrapText="1"/>
    </xf>
    <xf numFmtId="0" fontId="0" fillId="2" borderId="0" xfId="0" applyFill="1"/>
    <xf numFmtId="0" fontId="9" fillId="0" borderId="6" xfId="0" applyFont="1" applyBorder="1" applyAlignment="1">
      <alignment horizontal="center" vertical="center" wrapText="1"/>
    </xf>
    <xf numFmtId="0" fontId="9" fillId="0" borderId="8" xfId="0" applyFont="1" applyBorder="1" applyAlignment="1">
      <alignment horizontal="left" vertical="center" wrapText="1"/>
    </xf>
    <xf numFmtId="1" fontId="11" fillId="0" borderId="13" xfId="0" applyNumberFormat="1" applyFont="1" applyBorder="1" applyAlignment="1">
      <alignment horizontal="left" vertical="center" wrapText="1"/>
    </xf>
    <xf numFmtId="0" fontId="10" fillId="3" borderId="17" xfId="0" applyFont="1" applyFill="1" applyBorder="1" applyAlignment="1">
      <alignment vertical="center" wrapText="1"/>
    </xf>
    <xf numFmtId="0" fontId="11" fillId="3" borderId="39" xfId="0" applyFont="1" applyFill="1" applyBorder="1" applyAlignment="1">
      <alignment horizontal="left" vertical="top" wrapText="1"/>
    </xf>
    <xf numFmtId="0" fontId="11" fillId="0" borderId="39" xfId="0" applyFont="1" applyBorder="1" applyAlignment="1">
      <alignment horizontal="left" vertical="top" wrapText="1"/>
    </xf>
    <xf numFmtId="0" fontId="11" fillId="3" borderId="1" xfId="0" applyFont="1" applyFill="1" applyBorder="1" applyAlignment="1">
      <alignment horizontal="left" vertical="top" wrapText="1"/>
    </xf>
    <xf numFmtId="0" fontId="11" fillId="0" borderId="1" xfId="0" applyFont="1" applyBorder="1" applyAlignment="1">
      <alignment horizontal="left" vertical="top" wrapText="1"/>
    </xf>
    <xf numFmtId="0" fontId="9" fillId="0" borderId="41" xfId="0" applyFont="1" applyBorder="1" applyAlignment="1">
      <alignment horizontal="left" vertical="center" wrapText="1"/>
    </xf>
    <xf numFmtId="0" fontId="9" fillId="0" borderId="42" xfId="0" applyFont="1" applyBorder="1" applyAlignment="1">
      <alignment horizontal="left" vertical="center" wrapText="1"/>
    </xf>
    <xf numFmtId="0" fontId="9" fillId="0" borderId="0" xfId="0" applyFont="1" applyAlignment="1">
      <alignment horizontal="center" vertical="center" wrapText="1"/>
    </xf>
    <xf numFmtId="0" fontId="0" fillId="0" borderId="29" xfId="0" applyBorder="1"/>
    <xf numFmtId="0" fontId="9" fillId="0" borderId="44" xfId="0" applyFont="1" applyBorder="1" applyAlignment="1">
      <alignment horizontal="left" vertical="center" wrapText="1"/>
    </xf>
    <xf numFmtId="0" fontId="9" fillId="0" borderId="28" xfId="0" applyFont="1" applyBorder="1" applyAlignment="1">
      <alignment horizontal="left" vertical="center" wrapText="1"/>
    </xf>
    <xf numFmtId="0" fontId="13" fillId="0" borderId="1" xfId="0" applyFont="1" applyBorder="1" applyAlignment="1" applyProtection="1">
      <alignment horizontal="center" vertical="center" wrapText="1"/>
      <protection hidden="1"/>
    </xf>
    <xf numFmtId="0" fontId="13" fillId="0" borderId="12" xfId="0" applyFont="1" applyBorder="1" applyAlignment="1" applyProtection="1">
      <alignment horizontal="center" vertical="center" wrapText="1"/>
      <protection hidden="1"/>
    </xf>
    <xf numFmtId="0" fontId="13" fillId="2" borderId="0" xfId="0" applyFont="1" applyFill="1" applyAlignment="1">
      <alignment horizontal="center" vertical="center"/>
    </xf>
    <xf numFmtId="0" fontId="8" fillId="4" borderId="2" xfId="0" applyFont="1" applyFill="1" applyBorder="1" applyAlignment="1">
      <alignment horizontal="left" vertical="center" wrapText="1"/>
    </xf>
    <xf numFmtId="0" fontId="8" fillId="4" borderId="9" xfId="0" applyFont="1" applyFill="1" applyBorder="1" applyAlignment="1">
      <alignment horizontal="left" vertical="center" wrapText="1"/>
    </xf>
    <xf numFmtId="0" fontId="8" fillId="4" borderId="14" xfId="0" applyFont="1" applyFill="1" applyBorder="1" applyAlignment="1">
      <alignment horizontal="left" vertical="center" wrapText="1"/>
    </xf>
    <xf numFmtId="0" fontId="8" fillId="4" borderId="18" xfId="0" applyFont="1" applyFill="1" applyBorder="1" applyAlignment="1">
      <alignment horizontal="left" vertical="center" wrapText="1"/>
    </xf>
    <xf numFmtId="0" fontId="8" fillId="4" borderId="6" xfId="0" applyFont="1" applyFill="1" applyBorder="1" applyAlignment="1">
      <alignment horizontal="left" vertical="center" wrapText="1"/>
    </xf>
    <xf numFmtId="0" fontId="8" fillId="4" borderId="6" xfId="0" applyFont="1" applyFill="1" applyBorder="1" applyAlignment="1">
      <alignment horizontal="center" vertical="center" wrapText="1"/>
    </xf>
    <xf numFmtId="0" fontId="8" fillId="4" borderId="1" xfId="0" applyFont="1" applyFill="1" applyBorder="1" applyAlignment="1">
      <alignment horizontal="center" vertical="center" wrapText="1"/>
    </xf>
    <xf numFmtId="0" fontId="10" fillId="4" borderId="7" xfId="1" applyFont="1" applyFill="1" applyBorder="1" applyAlignment="1">
      <alignment horizontal="center" vertical="center" wrapText="1"/>
    </xf>
    <xf numFmtId="0" fontId="8" fillId="4" borderId="1" xfId="0" applyFont="1" applyFill="1" applyBorder="1" applyAlignment="1">
      <alignment horizontal="left" vertical="center" wrapText="1"/>
    </xf>
    <xf numFmtId="0" fontId="8" fillId="4" borderId="2" xfId="0" applyFont="1" applyFill="1" applyBorder="1" applyAlignment="1">
      <alignment horizontal="center" vertical="center" wrapText="1"/>
    </xf>
    <xf numFmtId="0" fontId="8" fillId="4" borderId="14" xfId="0" applyFont="1" applyFill="1" applyBorder="1" applyAlignment="1">
      <alignment horizontal="center" vertical="center" wrapText="1"/>
    </xf>
    <xf numFmtId="0" fontId="8" fillId="4" borderId="33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12" fillId="6" borderId="1" xfId="0" applyFont="1" applyFill="1" applyBorder="1" applyAlignment="1" applyProtection="1">
      <alignment horizontal="center" vertical="center" wrapText="1"/>
      <protection hidden="1"/>
    </xf>
    <xf numFmtId="0" fontId="12" fillId="6" borderId="12" xfId="0" applyFont="1" applyFill="1" applyBorder="1" applyAlignment="1" applyProtection="1">
      <alignment horizontal="center" vertical="center" wrapText="1"/>
      <protection hidden="1"/>
    </xf>
    <xf numFmtId="0" fontId="12" fillId="6" borderId="24" xfId="0" applyFont="1" applyFill="1" applyBorder="1" applyAlignment="1" applyProtection="1">
      <alignment horizontal="center" vertical="center" wrapText="1"/>
      <protection hidden="1"/>
    </xf>
    <xf numFmtId="0" fontId="13" fillId="3" borderId="1" xfId="0" applyFont="1" applyFill="1" applyBorder="1" applyAlignment="1" applyProtection="1">
      <alignment horizontal="center" vertical="center" wrapText="1"/>
      <protection hidden="1"/>
    </xf>
    <xf numFmtId="0" fontId="3" fillId="7" borderId="10" xfId="0" applyFont="1" applyFill="1" applyBorder="1" applyAlignment="1">
      <alignment horizontal="center" vertical="center" wrapText="1"/>
    </xf>
    <xf numFmtId="0" fontId="3" fillId="7" borderId="11" xfId="0" applyFont="1" applyFill="1" applyBorder="1" applyAlignment="1">
      <alignment horizontal="center" vertical="center" wrapText="1"/>
    </xf>
    <xf numFmtId="0" fontId="3" fillId="7" borderId="12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 applyProtection="1">
      <alignment horizontal="center" vertical="center" wrapText="1"/>
      <protection hidden="1"/>
    </xf>
    <xf numFmtId="0" fontId="12" fillId="6" borderId="1" xfId="0" applyFont="1" applyFill="1" applyBorder="1" applyAlignment="1" applyProtection="1">
      <alignment horizontal="center" vertical="center" wrapText="1"/>
      <protection hidden="1"/>
    </xf>
    <xf numFmtId="0" fontId="11" fillId="0" borderId="6" xfId="0" applyFont="1" applyBorder="1" applyAlignment="1">
      <alignment horizontal="left" vertical="top" wrapText="1"/>
    </xf>
    <xf numFmtId="0" fontId="11" fillId="0" borderId="6" xfId="0" applyFont="1" applyBorder="1" applyAlignment="1">
      <alignment horizontal="left" vertical="top"/>
    </xf>
    <xf numFmtId="0" fontId="11" fillId="0" borderId="8" xfId="0" applyFont="1" applyBorder="1" applyAlignment="1">
      <alignment horizontal="left" vertical="top"/>
    </xf>
    <xf numFmtId="0" fontId="11" fillId="0" borderId="33" xfId="0" applyFont="1" applyBorder="1" applyAlignment="1">
      <alignment horizontal="left" vertical="top" wrapText="1"/>
    </xf>
    <xf numFmtId="0" fontId="11" fillId="0" borderId="37" xfId="0" applyFont="1" applyBorder="1" applyAlignment="1">
      <alignment horizontal="left" vertical="top" wrapText="1"/>
    </xf>
    <xf numFmtId="0" fontId="12" fillId="6" borderId="45" xfId="0" applyFont="1" applyFill="1" applyBorder="1" applyAlignment="1" applyProtection="1">
      <alignment horizontal="center" vertical="center" wrapText="1"/>
      <protection hidden="1"/>
    </xf>
    <xf numFmtId="0" fontId="12" fillId="6" borderId="46" xfId="0" applyFont="1" applyFill="1" applyBorder="1" applyAlignment="1" applyProtection="1">
      <alignment horizontal="center" vertical="center" wrapText="1"/>
      <protection hidden="1"/>
    </xf>
    <xf numFmtId="0" fontId="12" fillId="6" borderId="11" xfId="0" applyFont="1" applyFill="1" applyBorder="1" applyAlignment="1" applyProtection="1">
      <alignment horizontal="center" vertical="center" wrapText="1"/>
      <protection hidden="1"/>
    </xf>
    <xf numFmtId="0" fontId="12" fillId="6" borderId="12" xfId="0" applyFont="1" applyFill="1" applyBorder="1" applyAlignment="1" applyProtection="1">
      <alignment horizontal="center" vertical="center" wrapText="1"/>
      <protection hidden="1"/>
    </xf>
    <xf numFmtId="0" fontId="12" fillId="6" borderId="24" xfId="0" applyFont="1" applyFill="1" applyBorder="1" applyAlignment="1" applyProtection="1">
      <alignment horizontal="center" vertical="center" wrapText="1"/>
      <protection hidden="1"/>
    </xf>
    <xf numFmtId="0" fontId="12" fillId="6" borderId="25" xfId="0" applyFont="1" applyFill="1" applyBorder="1" applyAlignment="1" applyProtection="1">
      <alignment horizontal="center" vertical="center" wrapText="1"/>
      <protection hidden="1"/>
    </xf>
    <xf numFmtId="0" fontId="13" fillId="0" borderId="1" xfId="0" applyFont="1" applyBorder="1" applyAlignment="1" applyProtection="1">
      <alignment horizontal="center" vertical="center" wrapText="1"/>
      <protection hidden="1"/>
    </xf>
    <xf numFmtId="0" fontId="0" fillId="3" borderId="1" xfId="0" applyFill="1" applyBorder="1" applyAlignment="1">
      <alignment horizontal="center"/>
    </xf>
    <xf numFmtId="0" fontId="4" fillId="5" borderId="1" xfId="0" applyFont="1" applyFill="1" applyBorder="1" applyAlignment="1">
      <alignment horizontal="center" vertical="center" wrapText="1"/>
    </xf>
    <xf numFmtId="0" fontId="8" fillId="4" borderId="30" xfId="0" applyFont="1" applyFill="1" applyBorder="1" applyAlignment="1">
      <alignment horizontal="center" vertical="center" wrapText="1"/>
    </xf>
    <xf numFmtId="0" fontId="8" fillId="4" borderId="32" xfId="0" applyFont="1" applyFill="1" applyBorder="1" applyAlignment="1">
      <alignment horizontal="center" vertical="center" wrapText="1"/>
    </xf>
    <xf numFmtId="0" fontId="8" fillId="4" borderId="34" xfId="0" applyFont="1" applyFill="1" applyBorder="1" applyAlignment="1">
      <alignment horizontal="center" vertical="center" wrapText="1"/>
    </xf>
    <xf numFmtId="0" fontId="8" fillId="4" borderId="36" xfId="0" applyFont="1" applyFill="1" applyBorder="1" applyAlignment="1">
      <alignment horizontal="center" vertical="center" wrapText="1"/>
    </xf>
    <xf numFmtId="0" fontId="8" fillId="4" borderId="31" xfId="0" applyFont="1" applyFill="1" applyBorder="1" applyAlignment="1">
      <alignment horizontal="center" vertical="center" wrapText="1"/>
    </xf>
    <xf numFmtId="0" fontId="8" fillId="4" borderId="35" xfId="0" applyFont="1" applyFill="1" applyBorder="1" applyAlignment="1">
      <alignment horizontal="center" vertical="center" wrapText="1"/>
    </xf>
    <xf numFmtId="0" fontId="8" fillId="4" borderId="8" xfId="0" applyFont="1" applyFill="1" applyBorder="1" applyAlignment="1">
      <alignment horizontal="center" vertical="center" wrapText="1"/>
    </xf>
    <xf numFmtId="0" fontId="8" fillId="4" borderId="37" xfId="0" applyFont="1" applyFill="1" applyBorder="1" applyAlignment="1">
      <alignment horizontal="center" vertical="center" wrapText="1"/>
    </xf>
    <xf numFmtId="0" fontId="11" fillId="3" borderId="38" xfId="0" applyFont="1" applyFill="1" applyBorder="1" applyAlignment="1">
      <alignment horizontal="left" vertical="center" wrapText="1"/>
    </xf>
    <xf numFmtId="0" fontId="10" fillId="0" borderId="30" xfId="0" applyFont="1" applyBorder="1" applyAlignment="1">
      <alignment horizontal="left" vertical="center" wrapText="1"/>
    </xf>
    <xf numFmtId="0" fontId="11" fillId="0" borderId="31" xfId="0" applyFont="1" applyBorder="1" applyAlignment="1">
      <alignment horizontal="left" vertical="center" wrapText="1"/>
    </xf>
    <xf numFmtId="0" fontId="10" fillId="0" borderId="27" xfId="0" applyFont="1" applyBorder="1" applyAlignment="1">
      <alignment horizontal="left" vertical="center" wrapText="1"/>
    </xf>
    <xf numFmtId="0" fontId="11" fillId="0" borderId="28" xfId="0" applyFont="1" applyBorder="1" applyAlignment="1">
      <alignment horizontal="left" vertical="center" wrapText="1"/>
    </xf>
    <xf numFmtId="0" fontId="11" fillId="0" borderId="27" xfId="0" applyFont="1" applyBorder="1" applyAlignment="1">
      <alignment horizontal="left" vertical="center" wrapText="1"/>
    </xf>
    <xf numFmtId="0" fontId="11" fillId="0" borderId="34" xfId="0" applyFont="1" applyBorder="1" applyAlignment="1">
      <alignment horizontal="left" vertical="center" wrapText="1"/>
    </xf>
    <xf numFmtId="0" fontId="11" fillId="0" borderId="35" xfId="0" applyFont="1" applyBorder="1" applyAlignment="1">
      <alignment horizontal="left" vertical="center" wrapText="1"/>
    </xf>
    <xf numFmtId="0" fontId="11" fillId="0" borderId="30" xfId="0" applyFont="1" applyBorder="1" applyAlignment="1">
      <alignment horizontal="left" vertical="top" wrapText="1"/>
    </xf>
    <xf numFmtId="0" fontId="11" fillId="0" borderId="31" xfId="0" applyFont="1" applyBorder="1" applyAlignment="1">
      <alignment horizontal="left" vertical="top" wrapText="1"/>
    </xf>
    <xf numFmtId="0" fontId="11" fillId="0" borderId="27" xfId="0" applyFont="1" applyBorder="1" applyAlignment="1">
      <alignment horizontal="left" vertical="top" wrapText="1"/>
    </xf>
    <xf numFmtId="0" fontId="11" fillId="0" borderId="28" xfId="0" applyFont="1" applyBorder="1" applyAlignment="1">
      <alignment horizontal="left" vertical="top" wrapText="1"/>
    </xf>
    <xf numFmtId="0" fontId="11" fillId="0" borderId="34" xfId="0" applyFont="1" applyBorder="1" applyAlignment="1">
      <alignment horizontal="left" vertical="top" wrapText="1"/>
    </xf>
    <xf numFmtId="0" fontId="11" fillId="0" borderId="35" xfId="0" applyFont="1" applyBorder="1" applyAlignment="1">
      <alignment horizontal="left" vertical="top" wrapText="1"/>
    </xf>
    <xf numFmtId="0" fontId="9" fillId="0" borderId="40" xfId="0" applyFont="1" applyBorder="1" applyAlignment="1">
      <alignment horizontal="left" vertical="top" wrapText="1"/>
    </xf>
    <xf numFmtId="0" fontId="11" fillId="0" borderId="40" xfId="0" applyFont="1" applyBorder="1" applyAlignment="1">
      <alignment horizontal="left" vertical="top" wrapText="1"/>
    </xf>
    <xf numFmtId="0" fontId="11" fillId="0" borderId="43" xfId="0" applyFont="1" applyBorder="1" applyAlignment="1">
      <alignment horizontal="left" vertical="top" wrapText="1"/>
    </xf>
    <xf numFmtId="0" fontId="8" fillId="4" borderId="2" xfId="0" applyFont="1" applyFill="1" applyBorder="1" applyAlignment="1">
      <alignment horizontal="center" vertical="center" wrapText="1"/>
    </xf>
    <xf numFmtId="0" fontId="8" fillId="4" borderId="14" xfId="0" applyFont="1" applyFill="1" applyBorder="1" applyAlignment="1">
      <alignment horizontal="center" vertical="center" wrapText="1"/>
    </xf>
    <xf numFmtId="0" fontId="8" fillId="4" borderId="6" xfId="0" applyFont="1" applyFill="1" applyBorder="1" applyAlignment="1">
      <alignment horizontal="center" vertical="center" wrapText="1"/>
    </xf>
    <xf numFmtId="0" fontId="8" fillId="4" borderId="33" xfId="0" applyFont="1" applyFill="1" applyBorder="1" applyAlignment="1">
      <alignment horizontal="center" vertical="center" wrapText="1"/>
    </xf>
    <xf numFmtId="0" fontId="8" fillId="4" borderId="3" xfId="0" applyFont="1" applyFill="1" applyBorder="1" applyAlignment="1">
      <alignment horizontal="center" vertical="center" wrapText="1"/>
    </xf>
    <xf numFmtId="0" fontId="8" fillId="4" borderId="4" xfId="0" applyFont="1" applyFill="1" applyBorder="1" applyAlignment="1">
      <alignment horizontal="center" vertical="center" wrapText="1"/>
    </xf>
    <xf numFmtId="0" fontId="8" fillId="4" borderId="5" xfId="0" applyFont="1" applyFill="1" applyBorder="1" applyAlignment="1">
      <alignment horizontal="center" vertical="center" wrapText="1"/>
    </xf>
    <xf numFmtId="0" fontId="2" fillId="4" borderId="30" xfId="0" applyFont="1" applyFill="1" applyBorder="1" applyAlignment="1">
      <alignment horizontal="center" vertical="center" wrapText="1"/>
    </xf>
    <xf numFmtId="0" fontId="2" fillId="4" borderId="28" xfId="0" applyFont="1" applyFill="1" applyBorder="1" applyAlignment="1">
      <alignment horizontal="center" vertical="center" wrapText="1"/>
    </xf>
    <xf numFmtId="0" fontId="2" fillId="4" borderId="34" xfId="0" applyFont="1" applyFill="1" applyBorder="1" applyAlignment="1">
      <alignment horizontal="center" vertical="center" wrapText="1"/>
    </xf>
    <xf numFmtId="0" fontId="2" fillId="4" borderId="35" xfId="0" applyFont="1" applyFill="1" applyBorder="1" applyAlignment="1">
      <alignment horizontal="center" vertical="center" wrapText="1"/>
    </xf>
    <xf numFmtId="0" fontId="8" fillId="4" borderId="27" xfId="0" applyFont="1" applyFill="1" applyBorder="1" applyAlignment="1">
      <alignment horizontal="center" vertical="center" wrapText="1"/>
    </xf>
    <xf numFmtId="0" fontId="8" fillId="4" borderId="28" xfId="0" applyFont="1" applyFill="1" applyBorder="1" applyAlignment="1">
      <alignment horizontal="center" vertical="center" wrapText="1"/>
    </xf>
    <xf numFmtId="0" fontId="11" fillId="3" borderId="9" xfId="0" applyFont="1" applyFill="1" applyBorder="1" applyAlignment="1">
      <alignment vertical="center" wrapText="1"/>
    </xf>
    <xf numFmtId="0" fontId="11" fillId="3" borderId="1" xfId="0" applyFont="1" applyFill="1" applyBorder="1" applyAlignment="1">
      <alignment vertical="center" wrapText="1"/>
    </xf>
    <xf numFmtId="0" fontId="11" fillId="3" borderId="23" xfId="0" applyFont="1" applyFill="1" applyBorder="1" applyAlignment="1">
      <alignment horizontal="left" vertical="top" wrapText="1"/>
    </xf>
    <xf numFmtId="0" fontId="11" fillId="3" borderId="24" xfId="0" applyFont="1" applyFill="1" applyBorder="1" applyAlignment="1">
      <alignment horizontal="left" vertical="top" wrapText="1"/>
    </xf>
    <xf numFmtId="0" fontId="11" fillId="3" borderId="25" xfId="0" applyFont="1" applyFill="1" applyBorder="1" applyAlignment="1">
      <alignment horizontal="left" vertical="top" wrapText="1"/>
    </xf>
    <xf numFmtId="0" fontId="11" fillId="3" borderId="27" xfId="0" applyFont="1" applyFill="1" applyBorder="1" applyAlignment="1">
      <alignment horizontal="left" vertical="top" wrapText="1"/>
    </xf>
    <xf numFmtId="0" fontId="11" fillId="3" borderId="0" xfId="0" applyFont="1" applyFill="1" applyAlignment="1">
      <alignment horizontal="left" vertical="top" wrapText="1"/>
    </xf>
    <xf numFmtId="0" fontId="11" fillId="3" borderId="28" xfId="0" applyFont="1" applyFill="1" applyBorder="1" applyAlignment="1">
      <alignment horizontal="left" vertical="top" wrapText="1"/>
    </xf>
    <xf numFmtId="0" fontId="11" fillId="3" borderId="1" xfId="0" applyFont="1" applyFill="1" applyBorder="1" applyAlignment="1">
      <alignment horizontal="left" vertical="top" wrapText="1"/>
    </xf>
    <xf numFmtId="0" fontId="11" fillId="3" borderId="26" xfId="0" applyFont="1" applyFill="1" applyBorder="1" applyAlignment="1">
      <alignment horizontal="left" vertical="top" wrapText="1"/>
    </xf>
    <xf numFmtId="0" fontId="11" fillId="3" borderId="29" xfId="0" applyFont="1" applyFill="1" applyBorder="1" applyAlignment="1">
      <alignment horizontal="left" vertical="top" wrapText="1"/>
    </xf>
    <xf numFmtId="0" fontId="11" fillId="0" borderId="15" xfId="0" applyFont="1" applyBorder="1" applyAlignment="1">
      <alignment horizontal="center" vertical="center" wrapText="1"/>
    </xf>
    <xf numFmtId="0" fontId="11" fillId="0" borderId="16" xfId="0" applyFont="1" applyBorder="1" applyAlignment="1">
      <alignment horizontal="center" vertical="center" wrapText="1"/>
    </xf>
    <xf numFmtId="0" fontId="11" fillId="0" borderId="19" xfId="0" applyFont="1" applyBorder="1" applyAlignment="1">
      <alignment horizontal="left" vertical="center" wrapText="1"/>
    </xf>
    <xf numFmtId="0" fontId="11" fillId="0" borderId="20" xfId="0" applyFont="1" applyBorder="1" applyAlignment="1">
      <alignment horizontal="left" vertical="center" wrapText="1"/>
    </xf>
    <xf numFmtId="0" fontId="8" fillId="4" borderId="21" xfId="0" applyFont="1" applyFill="1" applyBorder="1" applyAlignment="1">
      <alignment horizontal="center" vertical="center" wrapText="1"/>
    </xf>
    <xf numFmtId="0" fontId="8" fillId="4" borderId="22" xfId="0" applyFont="1" applyFill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9" fillId="0" borderId="3" xfId="0" applyFont="1" applyBorder="1" applyAlignment="1">
      <alignment horizontal="center" vertical="center" wrapText="1"/>
    </xf>
    <xf numFmtId="0" fontId="9" fillId="0" borderId="4" xfId="0" applyFont="1" applyBorder="1" applyAlignment="1">
      <alignment horizontal="center" vertical="center" wrapText="1"/>
    </xf>
    <xf numFmtId="0" fontId="9" fillId="0" borderId="5" xfId="0" applyFont="1" applyBorder="1" applyAlignment="1">
      <alignment horizontal="center" vertical="center" wrapText="1"/>
    </xf>
    <xf numFmtId="0" fontId="9" fillId="0" borderId="10" xfId="0" applyFont="1" applyBorder="1" applyAlignment="1">
      <alignment horizontal="center" vertical="center" wrapText="1"/>
    </xf>
    <xf numFmtId="0" fontId="9" fillId="0" borderId="11" xfId="0" applyFont="1" applyBorder="1" applyAlignment="1">
      <alignment horizontal="center" vertical="center" wrapText="1"/>
    </xf>
    <xf numFmtId="0" fontId="9" fillId="0" borderId="12" xfId="0" applyFont="1" applyBorder="1" applyAlignment="1">
      <alignment horizontal="center" vertical="center" wrapText="1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15" fillId="3" borderId="1" xfId="0" applyFont="1" applyFill="1" applyBorder="1" applyAlignment="1" applyProtection="1">
      <alignment horizontal="center" vertical="center" wrapText="1"/>
      <protection hidden="1"/>
    </xf>
  </cellXfs>
  <cellStyles count="2">
    <cellStyle name="Normal" xfId="0" builtinId="0"/>
    <cellStyle name="Normal 2 4 3" xfId="1" xr:uid="{DCB6A917-1B97-4CBA-8FEB-29C4A5084E96}"/>
  </cellStyles>
  <dxfs count="0"/>
  <tableStyles count="0" defaultTableStyle="TableStyleMedium2" defaultPivotStyle="PivotStyleLight16"/>
  <colors>
    <mruColors>
      <color rgb="FF1F4E7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microsoft.com/office/2017/06/relationships/rdRichValueStructure" Target="richData/rdrichvaluestructure.xml"/><Relationship Id="rId3" Type="http://schemas.openxmlformats.org/officeDocument/2006/relationships/externalLink" Target="externalLinks/externalLink2.xml"/><Relationship Id="rId7" Type="http://schemas.openxmlformats.org/officeDocument/2006/relationships/theme" Target="theme/theme1.xml"/><Relationship Id="rId12" Type="http://schemas.microsoft.com/office/2017/06/relationships/rdRichValue" Target="richData/rdrichvalue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microsoft.com/office/2022/10/relationships/richValueRel" Target="richData/richValueRel.xml"/><Relationship Id="rId5" Type="http://schemas.openxmlformats.org/officeDocument/2006/relationships/externalLink" Target="externalLinks/externalLink4.xml"/><Relationship Id="rId15" Type="http://schemas.openxmlformats.org/officeDocument/2006/relationships/calcChain" Target="calcChain.xml"/><Relationship Id="rId10" Type="http://schemas.openxmlformats.org/officeDocument/2006/relationships/sheetMetadata" Target="metadata.xml"/><Relationship Id="rId4" Type="http://schemas.openxmlformats.org/officeDocument/2006/relationships/externalLink" Target="externalLinks/externalLink3.xml"/><Relationship Id="rId9" Type="http://schemas.openxmlformats.org/officeDocument/2006/relationships/sharedStrings" Target="sharedStrings.xml"/><Relationship Id="rId14" Type="http://schemas.microsoft.com/office/2017/06/relationships/rdRichValueTypes" Target="richData/rdRichValueTyp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personal/eduardo_rodrigueza_unicafam_edu_co/Documents/Desktop/UA%20Desarrollo%20de%20Aplicaciones%20para%20Telecomunicaciones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yuber/Dropbox/Espacio%20familiar/UNIR/RA/Matriz%20Resultados%20de%20Aprendizaje%20Especializaci&#243;n%20GSS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C23EED28/Formato%20UA%20Programa%20de%20Ingenieri&#769;a%20de%20Telecomunicaciones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personal/carlos_carrasco_unicafam_edu_co/Documents/En%20proceso/Plan%202023%20Circuitos%20electr&#243;nicos%20II%20V02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Servicios/OneDrive%20-%20Fundaci&#243;n%20Universitaria%20Cafam/Santiago/UA%20guias/8.%20Octavo%20semestre%20UA%20Espec&#237;fica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estroCompetencias"/>
      <sheetName val="MaestroResultadosA"/>
      <sheetName val="MaestroUA"/>
      <sheetName val="Desarrollo Aplicaciones I"/>
      <sheetName val="Desarrollo Aplicaciones II"/>
    </sheetNames>
    <sheetDataSet>
      <sheetData sheetId="0"/>
      <sheetData sheetId="1"/>
      <sheetData sheetId="2"/>
      <sheetData sheetId="3" refreshError="1"/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tríz de RA"/>
      <sheetName val="Taxonomias "/>
      <sheetName val="RA"/>
      <sheetName val="Códigos "/>
    </sheetNames>
    <sheetDataSet>
      <sheetData sheetId="0" refreshError="1"/>
      <sheetData sheetId="1" refreshError="1"/>
      <sheetData sheetId="2" refreshError="1"/>
      <sheetData sheetId="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estroCompetencias"/>
      <sheetName val="MaestroResultadosA"/>
      <sheetName val="MaestroUA"/>
      <sheetName val="Algoritmos y Programación"/>
      <sheetName val="Programación Avanzada"/>
      <sheetName val="DesarrolloAplicaciones I"/>
      <sheetName val="DesarrolloAplicaciones II"/>
    </sheetNames>
    <sheetDataSet>
      <sheetData sheetId="0"/>
      <sheetData sheetId="1"/>
      <sheetData sheetId="2"/>
      <sheetData sheetId="3"/>
      <sheetData sheetId="4"/>
      <sheetData sheetId="5"/>
      <sheetData sheetId="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estroCompetencias"/>
      <sheetName val="MaestroResultadosA"/>
      <sheetName val="MaestroRecursos"/>
      <sheetName val="MaestroNombreUA"/>
      <sheetName val="MaestroUA"/>
      <sheetName val="Hoja1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sdf"/>
      <sheetName val="Producción limpia"/>
      <sheetName val="Desarrollo de productos y servi"/>
      <sheetName val="Logística integral "/>
      <sheetName val="Practica profesional II"/>
    </sheetNames>
    <sheetDataSet>
      <sheetData sheetId="0"/>
      <sheetData sheetId="1"/>
      <sheetData sheetId="2"/>
      <sheetData sheetId="3"/>
      <sheetData sheetId="4"/>
    </sheetDataSet>
  </externalBook>
</externalLink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  <v>LOGO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  <k n="Text" t="s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67CD03-F8CA-4EE6-A53C-DEF22B056482}">
  <sheetPr codeName="Hoja47">
    <tabColor theme="8"/>
  </sheetPr>
  <dimension ref="B2:O48"/>
  <sheetViews>
    <sheetView tabSelected="1" topLeftCell="A30" workbookViewId="0">
      <selection activeCell="M45" activeCellId="2" sqref="B45:G45 H45:L45 M45:O45"/>
    </sheetView>
  </sheetViews>
  <sheetFormatPr defaultColWidth="10.85546875" defaultRowHeight="15"/>
  <cols>
    <col min="1" max="1" width="5.7109375" style="2" customWidth="1"/>
    <col min="2" max="6" width="24.7109375" style="2" customWidth="1"/>
    <col min="7" max="9" width="12.7109375" style="2" customWidth="1"/>
    <col min="10" max="10" width="14.28515625" style="2" customWidth="1"/>
    <col min="11" max="14" width="12.7109375" style="2" customWidth="1"/>
    <col min="15" max="15" width="24.7109375" style="2" customWidth="1"/>
    <col min="16" max="16" width="5.85546875" style="2" customWidth="1"/>
    <col min="17" max="17" width="10.85546875" style="2"/>
    <col min="18" max="18" width="14" style="2" customWidth="1"/>
    <col min="19" max="16384" width="10.85546875" style="2"/>
  </cols>
  <sheetData>
    <row r="2" spans="2:15" ht="25.5" customHeight="1">
      <c r="B2" s="122" t="e" vm="1">
        <v>#VALUE!</v>
      </c>
      <c r="C2" s="55" t="s">
        <v>0</v>
      </c>
      <c r="D2" s="55"/>
      <c r="E2" s="55"/>
      <c r="F2" s="55"/>
      <c r="G2" s="55"/>
      <c r="H2" s="55"/>
      <c r="I2" s="55"/>
      <c r="J2" s="55"/>
      <c r="K2" s="55"/>
      <c r="L2" s="55"/>
      <c r="M2" s="55"/>
      <c r="N2" s="55"/>
      <c r="O2" s="55"/>
    </row>
    <row r="3" spans="2:15" ht="24" customHeight="1">
      <c r="B3" s="122"/>
      <c r="C3" s="123" t="s">
        <v>1</v>
      </c>
      <c r="D3" s="123"/>
      <c r="E3" s="123"/>
      <c r="F3" s="123"/>
      <c r="G3" s="123"/>
      <c r="H3" s="123"/>
      <c r="I3" s="123"/>
      <c r="J3" s="123"/>
      <c r="K3" s="123"/>
      <c r="L3" s="123"/>
      <c r="M3" s="123"/>
      <c r="N3" s="123"/>
      <c r="O3" s="123"/>
    </row>
    <row r="4" spans="2:15" ht="24" customHeight="1">
      <c r="B4" s="122"/>
      <c r="C4" s="123"/>
      <c r="D4" s="123"/>
      <c r="E4" s="123"/>
      <c r="F4" s="123"/>
      <c r="G4" s="123"/>
      <c r="H4" s="123"/>
      <c r="I4" s="123"/>
      <c r="J4" s="123"/>
      <c r="K4" s="123"/>
      <c r="L4" s="123"/>
      <c r="M4" s="123"/>
      <c r="N4" s="123"/>
      <c r="O4" s="123"/>
    </row>
    <row r="5" spans="2:15" ht="20.100000000000001" customHeight="1">
      <c r="B5" s="32" t="s">
        <v>2</v>
      </c>
      <c r="C5" s="1" t="s">
        <v>3</v>
      </c>
      <c r="D5" s="55" t="s">
        <v>4</v>
      </c>
      <c r="E5" s="55"/>
      <c r="F5" s="55"/>
      <c r="G5" s="1">
        <v>1</v>
      </c>
      <c r="H5" s="55" t="s">
        <v>5</v>
      </c>
      <c r="I5" s="55"/>
      <c r="J5" s="55"/>
      <c r="K5" s="54"/>
      <c r="L5" s="54"/>
      <c r="M5" s="55" t="s">
        <v>6</v>
      </c>
      <c r="N5" s="55"/>
      <c r="O5" s="1" t="s">
        <v>7</v>
      </c>
    </row>
    <row r="6" spans="2:15" ht="20.100000000000001" customHeight="1">
      <c r="B6" s="111"/>
      <c r="C6" s="111"/>
      <c r="D6" s="111"/>
      <c r="E6" s="111"/>
      <c r="F6" s="111"/>
      <c r="G6" s="111"/>
      <c r="H6" s="111"/>
      <c r="I6" s="111"/>
      <c r="J6" s="111"/>
      <c r="K6" s="111"/>
      <c r="L6" s="111"/>
      <c r="M6" s="111"/>
      <c r="N6" s="111"/>
      <c r="O6" s="111"/>
    </row>
    <row r="7" spans="2:15" ht="20.100000000000001" customHeight="1" thickBot="1">
      <c r="B7" s="112" t="s">
        <v>8</v>
      </c>
      <c r="C7" s="112"/>
      <c r="D7" s="112"/>
      <c r="E7" s="112"/>
      <c r="F7" s="112"/>
      <c r="G7" s="112"/>
      <c r="H7" s="112"/>
      <c r="I7" s="112"/>
      <c r="J7" s="112"/>
      <c r="K7" s="112"/>
      <c r="L7" s="112"/>
      <c r="M7" s="112"/>
      <c r="N7" s="112"/>
      <c r="O7" s="112"/>
    </row>
    <row r="8" spans="2:15" ht="30" customHeight="1">
      <c r="B8" s="20" t="s">
        <v>9</v>
      </c>
      <c r="C8" s="113" t="s">
        <v>10</v>
      </c>
      <c r="D8" s="114"/>
      <c r="E8" s="114"/>
      <c r="F8" s="115"/>
      <c r="G8" s="24" t="s">
        <v>11</v>
      </c>
      <c r="H8" s="113">
        <v>2</v>
      </c>
      <c r="I8" s="115"/>
      <c r="J8" s="25" t="s">
        <v>12</v>
      </c>
      <c r="K8" s="3">
        <f>H8*16</f>
        <v>32</v>
      </c>
      <c r="L8" s="27" t="s">
        <v>13</v>
      </c>
      <c r="M8" s="3">
        <f>K8*2</f>
        <v>64</v>
      </c>
      <c r="N8" s="24" t="s">
        <v>14</v>
      </c>
      <c r="O8" s="4" t="s">
        <v>15</v>
      </c>
    </row>
    <row r="9" spans="2:15" ht="30" customHeight="1">
      <c r="B9" s="21" t="s">
        <v>16</v>
      </c>
      <c r="C9" s="116" t="s">
        <v>17</v>
      </c>
      <c r="D9" s="117"/>
      <c r="E9" s="117"/>
      <c r="F9" s="117"/>
      <c r="G9" s="117"/>
      <c r="H9" s="117"/>
      <c r="I9" s="118"/>
      <c r="J9" s="26" t="s">
        <v>18</v>
      </c>
      <c r="K9" s="119" t="s">
        <v>19</v>
      </c>
      <c r="L9" s="120"/>
      <c r="M9" s="121"/>
      <c r="N9" s="28" t="s">
        <v>20</v>
      </c>
      <c r="O9" s="5">
        <v>14029280501</v>
      </c>
    </row>
    <row r="10" spans="2:15" ht="30" customHeight="1" thickBot="1">
      <c r="B10" s="22" t="s">
        <v>21</v>
      </c>
      <c r="C10" s="105" t="s">
        <v>22</v>
      </c>
      <c r="D10" s="106"/>
      <c r="E10" s="106"/>
      <c r="F10" s="106"/>
      <c r="G10" s="106"/>
      <c r="H10" s="106"/>
      <c r="I10" s="106"/>
      <c r="J10" s="106"/>
      <c r="K10" s="106"/>
      <c r="L10" s="106"/>
      <c r="M10" s="106"/>
      <c r="N10" s="106"/>
      <c r="O10" s="6"/>
    </row>
    <row r="11" spans="2:15" ht="55.5" customHeight="1" thickBot="1">
      <c r="B11" s="23" t="s">
        <v>23</v>
      </c>
      <c r="C11" s="107" t="s">
        <v>24</v>
      </c>
      <c r="D11" s="107"/>
      <c r="E11" s="107"/>
      <c r="F11" s="107"/>
      <c r="G11" s="107"/>
      <c r="H11" s="107"/>
      <c r="I11" s="107"/>
      <c r="J11" s="107"/>
      <c r="K11" s="107"/>
      <c r="L11" s="107"/>
      <c r="M11" s="107"/>
      <c r="N11" s="107"/>
      <c r="O11" s="108"/>
    </row>
    <row r="12" spans="2:15" ht="30" customHeight="1">
      <c r="B12" s="109" t="s">
        <v>25</v>
      </c>
      <c r="C12" s="87"/>
      <c r="D12" s="85" t="s">
        <v>26</v>
      </c>
      <c r="E12" s="86"/>
      <c r="F12" s="86"/>
      <c r="G12" s="87"/>
      <c r="H12" s="85" t="s">
        <v>27</v>
      </c>
      <c r="I12" s="86"/>
      <c r="J12" s="86"/>
      <c r="K12" s="86" t="s">
        <v>28</v>
      </c>
      <c r="L12" s="86"/>
      <c r="M12" s="87"/>
      <c r="N12" s="85" t="s">
        <v>29</v>
      </c>
      <c r="O12" s="110"/>
    </row>
    <row r="13" spans="2:15" ht="69" customHeight="1">
      <c r="B13" s="94" t="s">
        <v>30</v>
      </c>
      <c r="C13" s="95"/>
      <c r="D13" s="96" t="s">
        <v>31</v>
      </c>
      <c r="E13" s="97"/>
      <c r="F13" s="97"/>
      <c r="G13" s="98"/>
      <c r="H13" s="102" t="s">
        <v>32</v>
      </c>
      <c r="I13" s="102"/>
      <c r="J13" s="102"/>
      <c r="K13" s="97" t="s">
        <v>33</v>
      </c>
      <c r="L13" s="97"/>
      <c r="M13" s="98"/>
      <c r="N13" s="96" t="s">
        <v>34</v>
      </c>
      <c r="O13" s="103"/>
    </row>
    <row r="14" spans="2:15" ht="69" customHeight="1">
      <c r="B14" s="94"/>
      <c r="C14" s="95"/>
      <c r="D14" s="99"/>
      <c r="E14" s="100"/>
      <c r="F14" s="100"/>
      <c r="G14" s="101"/>
      <c r="H14" s="102"/>
      <c r="I14" s="102"/>
      <c r="J14" s="102"/>
      <c r="K14" s="100"/>
      <c r="L14" s="100"/>
      <c r="M14" s="101"/>
      <c r="N14" s="99"/>
      <c r="O14" s="104"/>
    </row>
    <row r="15" spans="2:15" ht="374.25" customHeight="1" thickBot="1">
      <c r="B15" s="94"/>
      <c r="C15" s="95"/>
      <c r="D15" s="99"/>
      <c r="E15" s="100"/>
      <c r="F15" s="100"/>
      <c r="G15" s="101"/>
      <c r="H15" s="102"/>
      <c r="I15" s="102"/>
      <c r="J15" s="102"/>
      <c r="K15" s="100"/>
      <c r="L15" s="100"/>
      <c r="M15" s="101"/>
      <c r="N15" s="99"/>
      <c r="O15" s="104"/>
    </row>
    <row r="16" spans="2:15" ht="30" customHeight="1">
      <c r="B16" s="81" t="s">
        <v>35</v>
      </c>
      <c r="C16" s="83" t="s">
        <v>36</v>
      </c>
      <c r="D16" s="85" t="s">
        <v>37</v>
      </c>
      <c r="E16" s="86"/>
      <c r="F16" s="87"/>
      <c r="G16" s="88" t="s">
        <v>38</v>
      </c>
      <c r="H16" s="89"/>
      <c r="I16" s="92" t="s">
        <v>39</v>
      </c>
      <c r="J16" s="93"/>
      <c r="K16" s="56" t="s">
        <v>40</v>
      </c>
      <c r="L16" s="57"/>
      <c r="M16" s="56" t="s">
        <v>41</v>
      </c>
      <c r="N16" s="60"/>
      <c r="O16" s="62" t="s">
        <v>42</v>
      </c>
    </row>
    <row r="17" spans="2:15" ht="15" customHeight="1" thickBot="1">
      <c r="B17" s="82"/>
      <c r="C17" s="84"/>
      <c r="D17" s="31" t="s">
        <v>43</v>
      </c>
      <c r="E17" s="31" t="s">
        <v>44</v>
      </c>
      <c r="F17" s="31" t="s">
        <v>45</v>
      </c>
      <c r="G17" s="90"/>
      <c r="H17" s="91"/>
      <c r="I17" s="58"/>
      <c r="J17" s="61"/>
      <c r="K17" s="58"/>
      <c r="L17" s="59"/>
      <c r="M17" s="58"/>
      <c r="N17" s="61"/>
      <c r="O17" s="63"/>
    </row>
    <row r="18" spans="2:15" ht="147" customHeight="1">
      <c r="B18" s="64" t="s">
        <v>46</v>
      </c>
      <c r="C18" s="7" t="s">
        <v>47</v>
      </c>
      <c r="D18" s="8" t="s">
        <v>48</v>
      </c>
      <c r="E18" s="8" t="s">
        <v>49</v>
      </c>
      <c r="F18" s="8" t="s">
        <v>50</v>
      </c>
      <c r="G18" s="65" t="s">
        <v>51</v>
      </c>
      <c r="H18" s="66"/>
      <c r="I18" s="72" t="s">
        <v>52</v>
      </c>
      <c r="J18" s="73"/>
      <c r="K18" s="72" t="s">
        <v>53</v>
      </c>
      <c r="L18" s="73"/>
      <c r="M18" s="72" t="s">
        <v>54</v>
      </c>
      <c r="N18" s="73"/>
      <c r="O18" s="78" t="s">
        <v>55</v>
      </c>
    </row>
    <row r="19" spans="2:15" ht="147" customHeight="1">
      <c r="B19" s="64"/>
      <c r="C19" s="9" t="s">
        <v>56</v>
      </c>
      <c r="D19" s="10" t="s">
        <v>57</v>
      </c>
      <c r="E19" s="10" t="s">
        <v>58</v>
      </c>
      <c r="F19" s="10" t="s">
        <v>59</v>
      </c>
      <c r="G19" s="67"/>
      <c r="H19" s="68"/>
      <c r="I19" s="74"/>
      <c r="J19" s="75"/>
      <c r="K19" s="74"/>
      <c r="L19" s="75"/>
      <c r="M19" s="74"/>
      <c r="N19" s="75"/>
      <c r="O19" s="78"/>
    </row>
    <row r="20" spans="2:15" ht="158.25" customHeight="1" thickBot="1">
      <c r="B20" s="64"/>
      <c r="C20" s="9" t="s">
        <v>60</v>
      </c>
      <c r="D20" s="10" t="s">
        <v>61</v>
      </c>
      <c r="E20" s="10" t="s">
        <v>62</v>
      </c>
      <c r="F20" s="10" t="s">
        <v>63</v>
      </c>
      <c r="G20" s="67"/>
      <c r="H20" s="68"/>
      <c r="I20" s="74"/>
      <c r="J20" s="75"/>
      <c r="K20" s="74"/>
      <c r="L20" s="75"/>
      <c r="M20" s="74"/>
      <c r="N20" s="75"/>
      <c r="O20" s="79"/>
    </row>
    <row r="21" spans="2:15" ht="15.75" hidden="1" customHeight="1" thickBot="1">
      <c r="B21" s="11"/>
      <c r="C21" s="12"/>
      <c r="D21" s="13"/>
      <c r="E21" s="13"/>
      <c r="F21" s="13"/>
      <c r="G21" s="69"/>
      <c r="H21" s="68"/>
      <c r="I21" s="74"/>
      <c r="J21" s="75"/>
      <c r="K21" s="74"/>
      <c r="L21" s="75"/>
      <c r="M21" s="74"/>
      <c r="N21" s="75"/>
      <c r="O21" s="79"/>
    </row>
    <row r="22" spans="2:15" ht="15.75" hidden="1" customHeight="1" thickBot="1">
      <c r="B22" s="11"/>
      <c r="C22" s="12"/>
      <c r="D22" s="13"/>
      <c r="E22" s="13"/>
      <c r="F22" s="13"/>
      <c r="G22" s="70"/>
      <c r="H22" s="71"/>
      <c r="I22" s="76"/>
      <c r="J22" s="77"/>
      <c r="K22" s="76"/>
      <c r="L22" s="77"/>
      <c r="M22" s="76"/>
      <c r="N22" s="77"/>
      <c r="O22" s="80"/>
    </row>
    <row r="23" spans="2:15" ht="15.75" hidden="1" thickBot="1">
      <c r="B23" s="11"/>
      <c r="C23" s="12"/>
      <c r="D23" s="13"/>
      <c r="E23" s="13"/>
      <c r="F23" s="13"/>
      <c r="G23" s="13"/>
      <c r="H23" s="13"/>
      <c r="I23" s="13"/>
      <c r="J23"/>
      <c r="K23"/>
      <c r="L23"/>
      <c r="M23"/>
      <c r="N23"/>
      <c r="O23" s="14"/>
    </row>
    <row r="24" spans="2:15" ht="15.75" hidden="1" thickBot="1">
      <c r="B24" s="11"/>
      <c r="C24" s="12"/>
      <c r="D24" s="13"/>
      <c r="E24" s="13"/>
      <c r="F24" s="13"/>
      <c r="G24" s="13"/>
      <c r="H24" s="13"/>
      <c r="I24" s="13"/>
      <c r="J24"/>
      <c r="K24"/>
      <c r="L24"/>
      <c r="M24"/>
      <c r="N24"/>
      <c r="O24" s="14"/>
    </row>
    <row r="25" spans="2:15" ht="15.75" hidden="1" thickBot="1">
      <c r="B25" s="11"/>
      <c r="C25" s="12"/>
      <c r="D25" s="13"/>
      <c r="E25" s="13"/>
      <c r="F25" s="13"/>
      <c r="G25" s="13"/>
      <c r="H25" s="13"/>
      <c r="I25" s="13"/>
      <c r="J25"/>
      <c r="K25"/>
      <c r="L25"/>
      <c r="M25"/>
      <c r="N25"/>
      <c r="O25" s="14"/>
    </row>
    <row r="26" spans="2:15" ht="15.75" hidden="1" thickBot="1">
      <c r="B26" s="11"/>
      <c r="C26" s="12"/>
      <c r="D26" s="13"/>
      <c r="E26" s="13"/>
      <c r="F26" s="13"/>
      <c r="G26" s="13"/>
      <c r="H26" s="13"/>
      <c r="I26" s="13"/>
      <c r="J26"/>
      <c r="K26"/>
      <c r="L26"/>
      <c r="M26"/>
      <c r="N26"/>
      <c r="O26" s="14"/>
    </row>
    <row r="27" spans="2:15" ht="15.75" hidden="1" thickBot="1">
      <c r="B27" s="15"/>
      <c r="C27" s="16"/>
      <c r="D27" s="13"/>
      <c r="E27" s="13"/>
      <c r="F27" s="13"/>
      <c r="G27" s="13"/>
      <c r="H27" s="13"/>
      <c r="I27" s="13"/>
      <c r="J27"/>
      <c r="K27"/>
      <c r="L27"/>
      <c r="M27"/>
      <c r="N27"/>
      <c r="O27" s="14"/>
    </row>
    <row r="28" spans="2:15" ht="173.25" customHeight="1">
      <c r="B28" s="29" t="s">
        <v>64</v>
      </c>
      <c r="C28" s="42" t="s">
        <v>65</v>
      </c>
      <c r="D28" s="43"/>
      <c r="E28" s="43"/>
      <c r="F28" s="43"/>
      <c r="G28" s="43"/>
      <c r="H28" s="43"/>
      <c r="I28" s="43"/>
      <c r="J28" s="43"/>
      <c r="K28" s="43"/>
      <c r="L28" s="43"/>
      <c r="M28" s="43"/>
      <c r="N28" s="43"/>
      <c r="O28" s="44"/>
    </row>
    <row r="29" spans="2:15" ht="66.75" customHeight="1" thickBot="1">
      <c r="B29" s="30" t="s">
        <v>66</v>
      </c>
      <c r="C29" s="45" t="s">
        <v>67</v>
      </c>
      <c r="D29" s="45"/>
      <c r="E29" s="45"/>
      <c r="F29" s="45"/>
      <c r="G29" s="45"/>
      <c r="H29" s="45"/>
      <c r="I29" s="45"/>
      <c r="J29" s="45"/>
      <c r="K29" s="45"/>
      <c r="L29" s="45"/>
      <c r="M29" s="45"/>
      <c r="N29" s="45"/>
      <c r="O29" s="46"/>
    </row>
    <row r="31" spans="2:15" ht="24.75" customHeight="1">
      <c r="B31" s="47" t="s">
        <v>68</v>
      </c>
      <c r="C31" s="48"/>
      <c r="D31" s="48"/>
      <c r="E31" s="48"/>
      <c r="F31" s="48"/>
      <c r="G31" s="48"/>
      <c r="H31" s="48"/>
      <c r="I31" s="48"/>
      <c r="J31" s="48"/>
      <c r="K31" s="48"/>
      <c r="L31" s="48"/>
      <c r="M31" s="48"/>
      <c r="N31" s="48"/>
      <c r="O31" s="48"/>
    </row>
    <row r="32" spans="2:15" ht="24.75" customHeight="1">
      <c r="B32" s="41" t="s">
        <v>4</v>
      </c>
      <c r="C32" s="41"/>
      <c r="D32" s="49" t="s">
        <v>69</v>
      </c>
      <c r="E32" s="49"/>
      <c r="F32" s="49"/>
      <c r="G32" s="49"/>
      <c r="H32" s="50"/>
      <c r="I32" s="34"/>
      <c r="J32" s="41" t="s">
        <v>70</v>
      </c>
      <c r="K32" s="41"/>
      <c r="L32" s="41"/>
      <c r="M32" s="41"/>
      <c r="N32" s="41"/>
      <c r="O32" s="41"/>
    </row>
    <row r="33" spans="2:15" ht="24.75" customHeight="1">
      <c r="B33" s="41"/>
      <c r="C33" s="41"/>
      <c r="D33" s="34" t="s">
        <v>71</v>
      </c>
      <c r="E33" s="35"/>
      <c r="F33" s="51" t="s">
        <v>72</v>
      </c>
      <c r="G33" s="52"/>
      <c r="H33" s="33" t="s">
        <v>73</v>
      </c>
      <c r="I33" s="33"/>
      <c r="J33" s="41"/>
      <c r="K33" s="41"/>
      <c r="L33" s="41"/>
      <c r="M33" s="41"/>
      <c r="N33" s="41"/>
      <c r="O33" s="41"/>
    </row>
    <row r="34" spans="2:15" ht="24.75" customHeight="1">
      <c r="B34" s="53">
        <v>1</v>
      </c>
      <c r="C34" s="53"/>
      <c r="D34" s="18"/>
      <c r="E34" s="18"/>
      <c r="F34" s="54"/>
      <c r="G34" s="54"/>
      <c r="H34" s="17"/>
      <c r="I34" s="17"/>
      <c r="J34" s="53" t="s">
        <v>74</v>
      </c>
      <c r="K34" s="53"/>
      <c r="L34" s="53"/>
      <c r="M34" s="53"/>
      <c r="N34" s="53"/>
      <c r="O34" s="53"/>
    </row>
    <row r="35" spans="2:15" ht="24.75" customHeight="1">
      <c r="B35" s="19"/>
      <c r="G35" s="19"/>
      <c r="H35" s="19"/>
      <c r="I35" s="19"/>
    </row>
    <row r="36" spans="2:15" ht="24.75" customHeight="1">
      <c r="B36" s="55" t="s">
        <v>75</v>
      </c>
      <c r="C36" s="55"/>
      <c r="D36" s="55"/>
      <c r="E36" s="55"/>
      <c r="F36" s="55"/>
      <c r="G36" s="55"/>
      <c r="H36" s="55"/>
      <c r="I36" s="55"/>
      <c r="J36" s="55"/>
      <c r="K36" s="55"/>
      <c r="L36" s="55"/>
      <c r="M36" s="55"/>
      <c r="N36" s="55"/>
      <c r="O36" s="55"/>
    </row>
    <row r="37" spans="2:15" ht="24.75" customHeight="1">
      <c r="B37" s="55" t="s">
        <v>76</v>
      </c>
      <c r="C37" s="55"/>
      <c r="D37" s="55"/>
      <c r="E37" s="55"/>
      <c r="F37" s="55"/>
      <c r="G37" s="55"/>
      <c r="H37" s="55"/>
      <c r="I37" s="55"/>
      <c r="J37" s="55"/>
      <c r="K37" s="55"/>
      <c r="L37" s="55"/>
      <c r="M37" s="55"/>
      <c r="N37" s="55"/>
      <c r="O37" s="55"/>
    </row>
    <row r="38" spans="2:15" ht="24.75" customHeight="1">
      <c r="B38" s="41" t="s">
        <v>77</v>
      </c>
      <c r="C38" s="41"/>
      <c r="D38" s="41"/>
      <c r="E38" s="41"/>
      <c r="F38" s="41"/>
      <c r="G38" s="41"/>
      <c r="H38" s="41" t="s">
        <v>78</v>
      </c>
      <c r="I38" s="41"/>
      <c r="J38" s="41"/>
      <c r="K38" s="41"/>
      <c r="L38" s="41"/>
      <c r="M38" s="41" t="s">
        <v>79</v>
      </c>
      <c r="N38" s="41"/>
      <c r="O38" s="41"/>
    </row>
    <row r="39" spans="2:15" ht="24.75" customHeight="1">
      <c r="B39" s="36"/>
      <c r="C39" s="36"/>
      <c r="D39" s="36"/>
      <c r="E39" s="36"/>
      <c r="F39" s="36"/>
      <c r="G39" s="36"/>
      <c r="H39" s="36"/>
      <c r="I39" s="36"/>
      <c r="J39" s="36"/>
      <c r="K39" s="36"/>
      <c r="L39" s="36"/>
      <c r="M39" s="36"/>
      <c r="N39" s="36"/>
      <c r="O39" s="36"/>
    </row>
    <row r="40" spans="2:15" ht="24.75" customHeight="1">
      <c r="B40" s="41" t="s">
        <v>80</v>
      </c>
      <c r="C40" s="41"/>
      <c r="D40" s="41"/>
      <c r="E40" s="41"/>
      <c r="F40" s="41"/>
      <c r="G40" s="41"/>
      <c r="H40" s="41"/>
      <c r="I40" s="41"/>
      <c r="J40" s="41"/>
      <c r="K40" s="41"/>
      <c r="L40" s="41"/>
      <c r="M40" s="41"/>
      <c r="N40" s="41"/>
      <c r="O40" s="41"/>
    </row>
    <row r="41" spans="2:15" ht="24.75" customHeight="1">
      <c r="B41" s="41" t="s">
        <v>77</v>
      </c>
      <c r="C41" s="41"/>
      <c r="D41" s="41"/>
      <c r="E41" s="41"/>
      <c r="F41" s="41"/>
      <c r="G41" s="41"/>
      <c r="H41" s="41" t="s">
        <v>78</v>
      </c>
      <c r="I41" s="41"/>
      <c r="J41" s="41"/>
      <c r="K41" s="41"/>
      <c r="L41" s="41"/>
      <c r="M41" s="41" t="s">
        <v>79</v>
      </c>
      <c r="N41" s="41"/>
      <c r="O41" s="41"/>
    </row>
    <row r="42" spans="2:15" ht="24.75" customHeight="1">
      <c r="B42" s="37" t="s">
        <v>81</v>
      </c>
      <c r="C42" s="38"/>
      <c r="D42" s="38"/>
      <c r="E42" s="38"/>
      <c r="F42" s="38"/>
      <c r="G42" s="39"/>
      <c r="H42" s="37" t="s">
        <v>82</v>
      </c>
      <c r="I42" s="38"/>
      <c r="J42" s="38"/>
      <c r="K42" s="38"/>
      <c r="L42" s="39"/>
      <c r="M42" s="40" t="s">
        <v>83</v>
      </c>
      <c r="N42" s="36"/>
      <c r="O42" s="36"/>
    </row>
    <row r="43" spans="2:15" ht="24.75" customHeight="1">
      <c r="B43" s="41" t="s">
        <v>80</v>
      </c>
      <c r="C43" s="41"/>
      <c r="D43" s="41"/>
      <c r="E43" s="41"/>
      <c r="F43" s="41"/>
      <c r="G43" s="41"/>
      <c r="H43" s="41"/>
      <c r="I43" s="41"/>
      <c r="J43" s="41"/>
      <c r="K43" s="41"/>
      <c r="L43" s="41"/>
      <c r="M43" s="41"/>
      <c r="N43" s="41"/>
      <c r="O43" s="41"/>
    </row>
    <row r="44" spans="2:15" ht="24.75" customHeight="1">
      <c r="B44" s="41" t="s">
        <v>77</v>
      </c>
      <c r="C44" s="41"/>
      <c r="D44" s="41"/>
      <c r="E44" s="41"/>
      <c r="F44" s="41"/>
      <c r="G44" s="41"/>
      <c r="H44" s="41" t="s">
        <v>78</v>
      </c>
      <c r="I44" s="41"/>
      <c r="J44" s="41"/>
      <c r="K44" s="41"/>
      <c r="L44" s="41"/>
      <c r="M44" s="41" t="s">
        <v>79</v>
      </c>
      <c r="N44" s="41"/>
      <c r="O44" s="41"/>
    </row>
    <row r="45" spans="2:15" ht="24.75" customHeight="1">
      <c r="B45" s="36" t="s">
        <v>84</v>
      </c>
      <c r="C45" s="36"/>
      <c r="D45" s="36"/>
      <c r="E45" s="36"/>
      <c r="F45" s="36"/>
      <c r="G45" s="36"/>
      <c r="H45" s="36" t="s">
        <v>82</v>
      </c>
      <c r="I45" s="36"/>
      <c r="J45" s="36"/>
      <c r="K45" s="36"/>
      <c r="L45" s="36"/>
      <c r="M45" s="124" t="s">
        <v>85</v>
      </c>
      <c r="N45" s="36"/>
      <c r="O45" s="36"/>
    </row>
    <row r="46" spans="2:15">
      <c r="B46" s="41" t="s">
        <v>86</v>
      </c>
      <c r="C46" s="41"/>
      <c r="D46" s="41"/>
      <c r="E46" s="41"/>
      <c r="F46" s="41"/>
      <c r="G46" s="41"/>
      <c r="H46" s="41"/>
      <c r="I46" s="41"/>
      <c r="J46" s="41"/>
      <c r="K46" s="41"/>
      <c r="L46" s="41"/>
      <c r="M46" s="41"/>
      <c r="N46" s="41"/>
      <c r="O46" s="41"/>
    </row>
    <row r="47" spans="2:15">
      <c r="B47" s="41" t="s">
        <v>77</v>
      </c>
      <c r="C47" s="41"/>
      <c r="D47" s="41"/>
      <c r="E47" s="41"/>
      <c r="F47" s="41"/>
      <c r="G47" s="41"/>
      <c r="H47" s="41" t="s">
        <v>78</v>
      </c>
      <c r="I47" s="41"/>
      <c r="J47" s="41"/>
      <c r="K47" s="41"/>
      <c r="L47" s="41"/>
      <c r="M47" s="41" t="s">
        <v>79</v>
      </c>
      <c r="N47" s="41"/>
      <c r="O47" s="41"/>
    </row>
    <row r="48" spans="2:15" ht="21.75">
      <c r="B48" s="36"/>
      <c r="C48" s="36"/>
      <c r="D48" s="36"/>
      <c r="E48" s="36"/>
      <c r="F48" s="36"/>
      <c r="G48" s="36"/>
      <c r="H48" s="36"/>
      <c r="I48" s="36"/>
      <c r="J48" s="36"/>
      <c r="K48" s="36"/>
      <c r="L48" s="36"/>
      <c r="M48" s="124"/>
      <c r="N48" s="36"/>
      <c r="O48" s="36"/>
    </row>
  </sheetData>
  <mergeCells count="78">
    <mergeCell ref="B46:O46"/>
    <mergeCell ref="B47:G47"/>
    <mergeCell ref="H47:L47"/>
    <mergeCell ref="M47:O47"/>
    <mergeCell ref="B48:G48"/>
    <mergeCell ref="H48:L48"/>
    <mergeCell ref="M48:O48"/>
    <mergeCell ref="B2:B4"/>
    <mergeCell ref="C2:O2"/>
    <mergeCell ref="C3:O4"/>
    <mergeCell ref="D5:F5"/>
    <mergeCell ref="H5:J5"/>
    <mergeCell ref="K5:L5"/>
    <mergeCell ref="M5:N5"/>
    <mergeCell ref="B6:O6"/>
    <mergeCell ref="B7:O7"/>
    <mergeCell ref="C8:F8"/>
    <mergeCell ref="H8:I8"/>
    <mergeCell ref="C9:I9"/>
    <mergeCell ref="K9:M9"/>
    <mergeCell ref="C10:N10"/>
    <mergeCell ref="C11:O11"/>
    <mergeCell ref="B12:C12"/>
    <mergeCell ref="D12:G12"/>
    <mergeCell ref="H12:J12"/>
    <mergeCell ref="K12:M12"/>
    <mergeCell ref="N12:O12"/>
    <mergeCell ref="B13:C15"/>
    <mergeCell ref="D13:G15"/>
    <mergeCell ref="H13:J15"/>
    <mergeCell ref="K13:M15"/>
    <mergeCell ref="N13:O15"/>
    <mergeCell ref="K16:L17"/>
    <mergeCell ref="M16:N17"/>
    <mergeCell ref="O16:O17"/>
    <mergeCell ref="B18:B20"/>
    <mergeCell ref="G18:H22"/>
    <mergeCell ref="I18:J22"/>
    <mergeCell ref="K18:L22"/>
    <mergeCell ref="M18:N22"/>
    <mergeCell ref="O18:O22"/>
    <mergeCell ref="B16:B17"/>
    <mergeCell ref="C16:C17"/>
    <mergeCell ref="D16:F16"/>
    <mergeCell ref="G16:H17"/>
    <mergeCell ref="I16:J17"/>
    <mergeCell ref="B38:G38"/>
    <mergeCell ref="H38:L38"/>
    <mergeCell ref="M38:O38"/>
    <mergeCell ref="C28:O28"/>
    <mergeCell ref="C29:O29"/>
    <mergeCell ref="B31:O31"/>
    <mergeCell ref="B32:C33"/>
    <mergeCell ref="D32:H32"/>
    <mergeCell ref="J32:O33"/>
    <mergeCell ref="F33:G33"/>
    <mergeCell ref="B34:C34"/>
    <mergeCell ref="F34:G34"/>
    <mergeCell ref="J34:O34"/>
    <mergeCell ref="B36:O36"/>
    <mergeCell ref="B37:O37"/>
    <mergeCell ref="B39:G39"/>
    <mergeCell ref="H39:L39"/>
    <mergeCell ref="M39:O39"/>
    <mergeCell ref="B40:O40"/>
    <mergeCell ref="B41:G41"/>
    <mergeCell ref="H41:L41"/>
    <mergeCell ref="M41:O41"/>
    <mergeCell ref="B45:G45"/>
    <mergeCell ref="H45:L45"/>
    <mergeCell ref="M45:O45"/>
    <mergeCell ref="B42:G42"/>
    <mergeCell ref="H42:L42"/>
    <mergeCell ref="M42:O42"/>
    <mergeCell ref="B43:O43"/>
    <mergeCell ref="B44:G44"/>
    <mergeCell ref="H44:L44"/>
    <mergeCell ref="M44:O44"/>
  </mergeCells>
  <pageMargins left="0.7" right="0.7" top="0.75" bottom="0.75" header="0.3" footer="0.3"/>
  <pageSetup scale="36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Fulbia Emilia Cerón Gomez</dc:creator>
  <cp:keywords/>
  <dc:description/>
  <cp:lastModifiedBy>Danny Aldemar Jiménez Martín</cp:lastModifiedBy>
  <cp:revision/>
  <dcterms:created xsi:type="dcterms:W3CDTF">2024-07-26T02:49:34Z</dcterms:created>
  <dcterms:modified xsi:type="dcterms:W3CDTF">2025-08-05T19:48:20Z</dcterms:modified>
  <cp:category/>
  <cp:contentStatus/>
</cp:coreProperties>
</file>