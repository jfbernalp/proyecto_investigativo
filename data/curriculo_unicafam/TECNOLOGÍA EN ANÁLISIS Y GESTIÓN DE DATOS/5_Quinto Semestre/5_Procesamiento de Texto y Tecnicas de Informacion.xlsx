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unicafamnet-my.sharepoint.com/personal/danny_jimenez_unicafam_edu_co/Documents/Intersemestral/Actualizción curricular TAGD/5 semestre con cambios/"/>
    </mc:Choice>
  </mc:AlternateContent>
  <xr:revisionPtr revIDLastSave="2" documentId="106_{2785533B-6645-470F-97DD-9868096B2DFB}" xr6:coauthVersionLast="47" xr6:coauthVersionMax="47" xr10:uidLastSave="{987BEF0C-65CC-478E-AA3B-59D74B138405}"/>
  <bookViews>
    <workbookView xWindow="-120" yWindow="-120" windowWidth="29040" windowHeight="15720" xr2:uid="{DEB5EB17-DAC0-46A9-B087-F92CA3E3D607}"/>
  </bookViews>
  <sheets>
    <sheet name="Electiva II(MACHINE LEARNING" sheetId="1" r:id="rId1"/>
  </sheets>
  <externalReferences>
    <externalReference r:id="rId2"/>
    <externalReference r:id="rId3"/>
    <externalReference r:id="rId4"/>
    <externalReference r:id="rId5"/>
  </externalReferences>
  <definedNames>
    <definedName name="Competencias">[1]MaestroCompetencias!$B$2:$B$11</definedName>
    <definedName name="DatosCompleto" localSheetId="0">[2]MaestroUA!$B$2:$M$89</definedName>
    <definedName name="DatosCompleto">[2]MaestroUA!$B$2:$M$89</definedName>
    <definedName name="ingenieria" localSheetId="0">#REF!</definedName>
    <definedName name="ingenieria">#REF!</definedName>
    <definedName name="RedacciónRecurso">[3]MaestroRecursos!$B$2:$B$102</definedName>
    <definedName name="ResultadoAprendizaje">[1]MaestroResultadosA!$B$2:$B$12</definedName>
    <definedName name="Semestre" localSheetId="0">[4]asdf!$A$13:$A$20</definedName>
    <definedName name="Semestre">[4]asdf!$A$13:$A$20</definedName>
    <definedName name="UnidadAcademica" localSheetId="0">[2]MaestroUA!$B$2:$B$89</definedName>
    <definedName name="UnidadAcademica">[2]MaestroUA!$B$2:$B$89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  <c r="M8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<sst xmlns="http://schemas.openxmlformats.org/spreadsheetml/2006/main" count="91" uniqueCount="84">
  <si>
    <t>FUNDACIÓN UNIVERSITARIA CAFAM</t>
  </si>
  <si>
    <t xml:space="preserve">MACROPROCESO MISIONAL
DOCENCIA
UNIDAD DE APRENDIZAJE </t>
  </si>
  <si>
    <t>CÓDIGO</t>
  </si>
  <si>
    <t>MIDOFO05</t>
  </si>
  <si>
    <t>VERSIÓN</t>
  </si>
  <si>
    <t>VIGENCIA</t>
  </si>
  <si>
    <t>PÁGINA</t>
  </si>
  <si>
    <t>1 de 1</t>
  </si>
  <si>
    <t xml:space="preserve">UNIDAD DE APRENDIZAJE </t>
  </si>
  <si>
    <t>NOMBRE UNIDAD DE APRENDIZAJE:</t>
  </si>
  <si>
    <t>PROCESAMIENTO DE TEXTO Y TÉCNICAS DE INFORMACIÓN</t>
  </si>
  <si>
    <t>N° Créditos:</t>
  </si>
  <si>
    <t>TFD:</t>
  </si>
  <si>
    <t>TTI:</t>
  </si>
  <si>
    <t>MODALIDAD:</t>
  </si>
  <si>
    <t>PRESENCIAL</t>
  </si>
  <si>
    <t>PROGRAMA:</t>
  </si>
  <si>
    <t>Tecnología en Análisis y gestión de Datos</t>
  </si>
  <si>
    <t>SEMESTRE:</t>
  </si>
  <si>
    <t>V</t>
  </si>
  <si>
    <t>CÓDIGO:</t>
  </si>
  <si>
    <t>ÁREA DE FORMACIÓN:</t>
  </si>
  <si>
    <t>Específica</t>
  </si>
  <si>
    <t>JUSTIFICACIÓN:</t>
  </si>
  <si>
    <t>El procesamiento de texto y las técnicas de información son fundamentales para que el estudiante desarrolle metodologías que le permitan transformar información textual en datos estructurados, analizables y relevantes para la toma de decisiones. Mediante el uso de técnicas de procesamiento de lenguaje natural (PLN), representaciones vectoriales, análisis de patrones y métodos básicos de búsqueda, el estudiante podrá extraer conocimiento útil a partir de fuentes textuales como encuestas, redes sociales, comentarios de clientes, artículos y documentos. Esta asignatura le brinda la capacidad de integrar soluciones analíticas en contextos reales, mediante el uso de herramientas computacionales y la automatización de flujos de procesamiento textual</t>
  </si>
  <si>
    <t xml:space="preserve">COMPETENCIA </t>
  </si>
  <si>
    <t>SABERES ESPECÍFICOS 
(saber)</t>
  </si>
  <si>
    <t xml:space="preserve">HABILIDADES O DESTREZAS 
(saber hacer) </t>
  </si>
  <si>
    <t xml:space="preserve">ACTITUDES 
(saber ser) </t>
  </si>
  <si>
    <t xml:space="preserve">APRENDER A APRENDER </t>
  </si>
  <si>
    <t>Apoyar la toma de decisiones mediante el uso y análisis de la información.</t>
  </si>
  <si>
    <t xml:space="preserve">
1. Fundamentos del procesamiento de lenguaje natural (PLN): tokenización, lematización, eliminación de stopwords y técnicas básicas de preprocesamiento textual.
2. Representación de texto para análisis: bolsa de palabras, TF-IDF y modelos vectoriales simples.
3. Análisis exploratorio de datos textuales: visualización de frecuencias, nubes de palabras y detección de patrones.
4. Extracción de información a partir de texto: entidades nombradas, frases clave y relaciones semánticas.
5. Técnicas básicas de búsqueda y recuperación de información en textos no estructurados
6. Introducción al modelado temático y clasificación de documentos.
7. Herramientas computacionales para procesamiento de texto en Python (como NLTK y spaCy).
8. Automatización de flujos de procesamiento textual mediante notebooks interactivos y pipelines simples. 
9. Aplicaciones del análisis de texto en entornos reales: análisis de sentimiento, segmentación de clientes, minería de opiniones.
</t>
  </si>
  <si>
    <t>•  Aplicar técnicas de preprocesamiento textual como tokenización, lematización y eliminación de stopwords para preparar datos lingüísticos.
• Construir representaciones vectoriales del texto utilizando modelos como bolsa de palabras y TF-IDF para análisis cuantitativo.
• Explorar y visualizar datos textuales mediante frecuencias, nubes de palabras y análisis de patrones recurrentes.
• Extraer información relevante desde textos no estructurados, como entidades nombradas, frases clave y relaciones semánticas. 
• Implementar búsquedas y recuperar información útil en grandes volúmenes de texto mediante técnicas básicas de recuperación.
• Desarrollar modelos simples de clasificación de documentos y agrupación temática de textos. 
• Utilizar herramientas computacionales como NLTK y spaCy para el análisis automatizado de lenguaje natural.
•  Diseñar flujos de trabajo reproducibles para el procesamiento textual mediante notebooks y pipelines automatizados. 
•   Analizar casos reales aplicando técnicas de análisis de texto a problemas como el análisis de sentimientos, segmentación de clientes y minería de opiniones</t>
  </si>
  <si>
    <t>Durante el desarrollo de la asignatura, se espera que el estudiante demuestre una actitud crítica y reflexiva frente a la información textual, valorando la importancia del rigor analítico en el tratamiento del lenguaje natural. Asimismo, se fomenta la curiosidad intelectual y la disposición a experimentar con herramientas computacionales para resolver problemas complejos a partir de datos no estructurados. El trabajo colaborativo, la responsabilidad en la documentación de procesos y la apertura al aprendizaje autónomo son esenciales para integrar soluciones que respondan a contextos reales y diversos del análisis textual.</t>
  </si>
  <si>
    <t xml:space="preserve">En esta asignatura, se promueve el desarrollo de la autonomía en el aprendizaje mediante la exploración activa de herramientas y técnicas de procesamiento de texto, alentando al estudiante a identificar sus propias rutas de comprensión y consolidación del conocimiento. A través de la resolución de problemas, el análisis de casos reales y el uso progresivo de recursos tecnológicos, el estudiante fortalece su capacidad para aprender de manera continua, adaptándose a nuevas metodologías, lenguajes y entornos de trabajo. </t>
  </si>
  <si>
    <t xml:space="preserve">RESULTADO DE APRENDIZAJE DEL PROGRAMA </t>
  </si>
  <si>
    <t xml:space="preserve">RESULTADOS DE APRENDIZAJE DE LA UNIDAD DE APZ </t>
  </si>
  <si>
    <t xml:space="preserve">CRITERIOS DE EVALUACIÓN </t>
  </si>
  <si>
    <t xml:space="preserve">ESTRATEGIAS DE EVALUACIÓN </t>
  </si>
  <si>
    <t>EVIDENCIAS DE CONOCIMIENTO</t>
  </si>
  <si>
    <t>EVIDENCIAS DE 
DESEMPEÑO</t>
  </si>
  <si>
    <t>EVIDENCIAS DE 
PRODUCTO</t>
  </si>
  <si>
    <t xml:space="preserve">METODOLOGIA: ACTIVIDADES Y ESTRATEGIAS </t>
  </si>
  <si>
    <t xml:space="preserve">Nivel Alto </t>
  </si>
  <si>
    <t xml:space="preserve">Nivel Medio </t>
  </si>
  <si>
    <t xml:space="preserve">Nivel Bajo </t>
  </si>
  <si>
    <t>RA1 Sistematiza datos que proveen información para la toma de decisiones de la organización.</t>
  </si>
  <si>
    <t>Aplica técnicas  de procesamiento de lenguaje natural (tokenización, lematización, eliminación de stopwords) para transformar texto en datos estructurados.</t>
  </si>
  <si>
    <t>Aplica de forma autónoma y precisa múltiples técnicas de preprocesamiento textual en diversos contextos, justificando su elección en función del tipo de texto y del objetivo del análisis</t>
  </si>
  <si>
    <t>Aplica las técnicas básicas de preprocesamiento con precisión en textos conocidos, aunque requiere apoyo para adaptar su uso a nuevos contextos o justificar sus decisiones.</t>
  </si>
  <si>
    <t xml:space="preserve">Aplica las técnicas de forma parcial o incorrecta, sin comprender plenamente su utilidad o sin lograr estructurar adecuadamente el texto para su análisis posterior.
</t>
  </si>
  <si>
    <t>Resolución de Ejercicios y Problemas.
Aprendizaje Basado en Problemas.</t>
  </si>
  <si>
    <t xml:space="preserve">Con la rúbrica como herramienta de evaluación de los aprendizajes adquiridos, se evidenciará:
A.) La aplicación precisa de procedimientos seleccionados
B.) La comprensión y aplicación de conceptos teóricos relevantes para la resolución del problema, incluyendo la precisión en el uso de fórmulas, teoremas o principios pertinentes.
C.) La correcta interpretación de los datos, las condiciones del problema y los resultados alcanzados.
</t>
  </si>
  <si>
    <t xml:space="preserve">Con la rúbrica como herramienta de evaluación del desempeño se evidenciará:
A.) La claridad en la presentación del razonamiento.
B.) La  metodología utilizada para llegar a la solución.
C.) la capacidad para identificar y manejar adecuadamente las etapas. del proceso de resolución.
D.) la eficiencia en el uso de recursos y tiempo. </t>
  </si>
  <si>
    <t xml:space="preserve">Utilizando la rúbrica como herramienta de evaluación, se valorara en el informe final,  la solución numérica o analítica correcta, la verificación de la solución para asegurar su validez, la presentación adecuada de los resultados con unidades correctas y cifras significativas, así como la interpretación de las implicaciones de la solución dentro del contexto del problema planteado
El informe final puede ser 
Productos Tangibles:
Informes, documentos técnicos, manuales o presentaciones que documentan el proceso y los resultados del problema.
Presentaciones o Demostraciones:
Exposiciones públicas, presentaciones orales o demostraciones ante compañeros
Portafolios:
Recopilación de trabajos,  análisis, investigaciones y reflexiones relacionadas con el problema.
Evaluaciones ecritas </t>
  </si>
  <si>
    <r>
      <rPr>
        <b/>
        <sz val="11"/>
        <color rgb="FF000000"/>
        <rFont val="Aptos Narrow"/>
        <scheme val="minor"/>
      </rPr>
      <t xml:space="preserve">Resolución de Ejercicios y Problemas.
</t>
    </r>
    <r>
      <rPr>
        <sz val="11"/>
        <color rgb="FF000000"/>
        <rFont val="Aptos Narrow"/>
        <scheme val="minor"/>
      </rPr>
      <t xml:space="preserve">1. Reconocimiento del problema. Comprensión.
2. Análisis, búsqueda y selección del procedimiento o plan de resolución.
3. Aplicación del procedimiento o plan seleccionado.
4. Comprobación e interpretación del resultado.
</t>
    </r>
    <r>
      <rPr>
        <b/>
        <sz val="11"/>
        <color rgb="FF000000"/>
        <rFont val="Aptos Narrow"/>
        <scheme val="minor"/>
      </rPr>
      <t xml:space="preserve">Aprendizaje Basado en Problemas. 
</t>
    </r>
    <r>
      <rPr>
        <sz val="11"/>
        <color rgb="FF000000"/>
        <rFont val="Aptos Narrow"/>
        <scheme val="minor"/>
      </rPr>
      <t>1. Leer y analizar el escenario o situación problema.
2. Identificar los objetivos de aprendizaje.
3. Identificar el conocimiento necesario previo y, reconocer saberes que requieren mayor profundización para lograr su solución.
4. Elaborar un esquema o representación que le permita comprender el problema.
5. Elaborar un diagnóstico que le permita una aproximación a la solución del problema.
6. Elaborar un plan de trabajo para abordar el problema.
7. Recopilar información sobre el problema.
8. Analizar la información recogida
9. Plantear los posibles resultados y evaluar su capacidad para abordar el problema
10. Desarrollar procesos de retroalimentación que lo lleven a verificar la solución del problema o nuevas hipótesis 
11. Reflexionar sobre el desempeño individual y grupal durante el desarrollo de la actividad.</t>
    </r>
  </si>
  <si>
    <t>Utiliza representaciones vectoriales y análisis exploratorio de datos textuales para identificar patrones relevantes en corpus reales</t>
  </si>
  <si>
    <t>Interpreta con claridad los resultados obtenidos mediante técnicas como TF-IDF, nubes de palabras o matrices de coocurrencia, identificando patrones y proponiendo hipótesis relevantes con base en los datos.</t>
  </si>
  <si>
    <t>Utiliza adecuadamente herramientas de análisis exploratorio y representación vectorial, pero con limitaciones al momento de interpretar los resultados o relacionarlos con el problema de análisis.</t>
  </si>
  <si>
    <t>Presenta dificultades tanto en la implementación como en la interpretación de técnicas de análisis exploratorio, sin lograr extraer conclusiones útiles a partir de los datos textuales</t>
  </si>
  <si>
    <t xml:space="preserve">Implementa flujos básicos de procesamiento de texto  mediante el uso de librerías </t>
  </si>
  <si>
    <t>Desarrolla notebooks bien estructurados con flujos automatizados, haciendo uso eficiente de las librerías para resolver problemas reales de análisis de texto y documentando el proceso con claridad.</t>
  </si>
  <si>
    <t>Implementa flujos de procesamiento funcionales con apoyo, pero con limitaciones en la automatización o en el aprovechamiento completo de las librerías.</t>
  </si>
  <si>
    <t>Presenta dificultades técnicas en la implementación de flujos básicos o en el uso de las librerías, con un código poco funcional o sin relación clara con el objetivo analítico.</t>
  </si>
  <si>
    <t xml:space="preserve">RECURSOS DE APOYO </t>
  </si>
  <si>
    <t>Aula virtual
Software https://www.mathworks.com/products/matlab.html
Software GeoGebra License; Non-commercial freeware; portions under General Public License (GPL).
Microsoft 365, incluye Microsoft Office (Word, Excel, PowerPoint, Publisher, Access, Power BI, OneNote, Outlook, Project y Visio), Licencia Universitaria. 
Enginnering plus (gale).
Science infomation (gale).
Computer Science (gale).
E-Collection (ISO) (iCONTEC).
https://elibro-net.biblioteca.unicafam.edu.co/es/lc/unicafam/inicio</t>
  </si>
  <si>
    <t xml:space="preserve">BIBLIOGRAFÍA </t>
  </si>
  <si>
    <t>CONTROL DE CAMBIOS</t>
  </si>
  <si>
    <t>FECHA DE APROBACIÓN</t>
  </si>
  <si>
    <t>DESCRIPCIÓN DEL CAMBIO</t>
  </si>
  <si>
    <t>DD</t>
  </si>
  <si>
    <t>MM</t>
  </si>
  <si>
    <t>AAAA</t>
  </si>
  <si>
    <t>Creación del Documento</t>
  </si>
  <si>
    <t>CONTROL DE DOCUMENTOS</t>
  </si>
  <si>
    <t>ELABORO</t>
  </si>
  <si>
    <t>NOMBRES Y APELLIDOS</t>
  </si>
  <si>
    <t>CARGO</t>
  </si>
  <si>
    <t>FIRMA</t>
  </si>
  <si>
    <t>Danny Aldemar Jiménez Martín</t>
  </si>
  <si>
    <t>Profesor de Ciencia de Datos y TAGD</t>
  </si>
  <si>
    <t>Danny Jiménez</t>
  </si>
  <si>
    <t>REVISO</t>
  </si>
  <si>
    <t>APROBÓ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</si>
</sst>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Verdana"/>
      <family val="2"/>
    </font>
    <font>
      <b/>
      <sz val="11"/>
      <color rgb="FFFFFFFF"/>
      <name val="Verdana"/>
      <family val="2"/>
    </font>
    <font>
      <b/>
      <sz val="11"/>
      <color rgb="FF000000"/>
      <name val="Verdana"/>
      <family val="2"/>
    </font>
    <font>
      <b/>
      <sz val="11"/>
      <color theme="0"/>
      <name val="Verdana"/>
      <family val="2"/>
    </font>
    <font>
      <sz val="11"/>
      <color theme="1"/>
      <name val="Verdana"/>
      <family val="2"/>
    </font>
    <font>
      <sz val="16"/>
      <color theme="1"/>
      <name val="Vladimir Script"/>
      <family val="4"/>
    </font>
    <font>
      <sz val="16"/>
      <color rgb="FF000000"/>
      <name val="Vladimir Script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E78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FF"/>
        <bgColor rgb="FF000000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08">
    <xf numFmtId="0" fontId="0" fillId="0" borderId="0" xfId="0"/>
    <xf numFmtId="0" fontId="1" fillId="0" borderId="0" xfId="1" applyAlignment="1">
      <alignment vertical="center"/>
    </xf>
    <xf numFmtId="0" fontId="7" fillId="0" borderId="2" xfId="1" applyFont="1" applyBorder="1" applyAlignment="1">
      <alignment horizontal="center" vertical="center" wrapText="1"/>
    </xf>
    <xf numFmtId="0" fontId="7" fillId="0" borderId="5" xfId="1" applyFont="1" applyBorder="1" applyAlignment="1" applyProtection="1">
      <alignment horizontal="center" vertical="center" wrapText="1"/>
      <protection locked="0"/>
    </xf>
    <xf numFmtId="0" fontId="7" fillId="0" borderId="11" xfId="1" applyFont="1" applyBorder="1" applyAlignment="1" applyProtection="1">
      <alignment horizontal="center" vertical="center" wrapText="1"/>
      <protection locked="0"/>
    </xf>
    <xf numFmtId="0" fontId="6" fillId="2" borderId="1" xfId="1" applyFont="1" applyFill="1" applyBorder="1" applyAlignment="1">
      <alignment horizontal="left" vertical="center" wrapText="1"/>
    </xf>
    <xf numFmtId="0" fontId="6" fillId="2" borderId="6" xfId="1" applyFont="1" applyFill="1" applyBorder="1" applyAlignment="1">
      <alignment horizontal="left" vertical="center" wrapText="1"/>
    </xf>
    <xf numFmtId="0" fontId="6" fillId="2" borderId="12" xfId="1" applyFont="1" applyFill="1" applyBorder="1" applyAlignment="1">
      <alignment horizontal="left" vertical="center" wrapText="1"/>
    </xf>
    <xf numFmtId="0" fontId="6" fillId="2" borderId="15" xfId="1" applyFont="1" applyFill="1" applyBorder="1" applyAlignment="1">
      <alignment horizontal="left" vertical="center" wrapText="1"/>
    </xf>
    <xf numFmtId="0" fontId="8" fillId="2" borderId="2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1" fillId="4" borderId="10" xfId="0" applyFont="1" applyFill="1" applyBorder="1" applyAlignment="1">
      <alignment horizontal="center" vertical="center" wrapText="1"/>
    </xf>
    <xf numFmtId="0" fontId="14" fillId="0" borderId="10" xfId="0" applyFont="1" applyBorder="1" applyAlignment="1" applyProtection="1">
      <alignment horizontal="center" vertical="center" wrapText="1"/>
      <protection hidden="1"/>
    </xf>
    <xf numFmtId="0" fontId="14" fillId="5" borderId="0" xfId="0" applyFont="1" applyFill="1" applyAlignment="1">
      <alignment horizontal="center" vertical="center"/>
    </xf>
    <xf numFmtId="0" fontId="0" fillId="5" borderId="0" xfId="0" applyFill="1"/>
    <xf numFmtId="0" fontId="13" fillId="6" borderId="10" xfId="0" applyFont="1" applyFill="1" applyBorder="1" applyAlignment="1" applyProtection="1">
      <alignment horizontal="center" vertical="center" wrapText="1"/>
      <protection hidden="1"/>
    </xf>
    <xf numFmtId="0" fontId="0" fillId="3" borderId="10" xfId="0" applyFill="1" applyBorder="1"/>
    <xf numFmtId="0" fontId="0" fillId="0" borderId="2" xfId="1" applyFont="1" applyBorder="1" applyAlignment="1">
      <alignment horizontal="left" vertical="top" wrapText="1"/>
    </xf>
    <xf numFmtId="0" fontId="0" fillId="0" borderId="10" xfId="1" applyFont="1" applyBorder="1" applyAlignment="1">
      <alignment horizontal="left" vertical="top" wrapText="1"/>
    </xf>
    <xf numFmtId="0" fontId="13" fillId="6" borderId="10" xfId="0" applyFont="1" applyFill="1" applyBorder="1" applyAlignment="1" applyProtection="1">
      <alignment horizontal="center" vertical="center" wrapText="1"/>
      <protection hidden="1"/>
    </xf>
    <xf numFmtId="0" fontId="13" fillId="6" borderId="31" xfId="0" applyFont="1" applyFill="1" applyBorder="1" applyAlignment="1" applyProtection="1">
      <alignment horizontal="center" vertical="center" wrapText="1"/>
      <protection hidden="1"/>
    </xf>
    <xf numFmtId="0" fontId="13" fillId="6" borderId="32" xfId="0" applyFont="1" applyFill="1" applyBorder="1" applyAlignment="1" applyProtection="1">
      <alignment horizontal="center" vertical="center" wrapText="1"/>
      <protection hidden="1"/>
    </xf>
    <xf numFmtId="0" fontId="13" fillId="6" borderId="30" xfId="0" applyFont="1" applyFill="1" applyBorder="1" applyAlignment="1" applyProtection="1">
      <alignment horizontal="center" vertical="center" wrapText="1"/>
      <protection hidden="1"/>
    </xf>
    <xf numFmtId="0" fontId="13" fillId="6" borderId="33" xfId="0" applyFont="1" applyFill="1" applyBorder="1" applyAlignment="1" applyProtection="1">
      <alignment horizontal="center" vertical="center" wrapText="1"/>
      <protection hidden="1"/>
    </xf>
    <xf numFmtId="0" fontId="14" fillId="0" borderId="8" xfId="0" applyFont="1" applyBorder="1" applyAlignment="1" applyProtection="1">
      <alignment horizontal="center" vertical="center" wrapText="1"/>
      <protection hidden="1"/>
    </xf>
    <xf numFmtId="0" fontId="14" fillId="0" borderId="9" xfId="0" applyFont="1" applyBorder="1" applyAlignment="1" applyProtection="1">
      <alignment horizontal="center" vertical="center" wrapText="1"/>
      <protection hidden="1"/>
    </xf>
    <xf numFmtId="0" fontId="14" fillId="3" borderId="10" xfId="0" applyFont="1" applyFill="1" applyBorder="1" applyAlignment="1" applyProtection="1">
      <alignment horizontal="center" vertical="center" wrapText="1"/>
      <protection hidden="1"/>
    </xf>
    <xf numFmtId="0" fontId="16" fillId="3" borderId="10" xfId="0" applyFont="1" applyFill="1" applyBorder="1" applyAlignment="1" applyProtection="1">
      <alignment horizontal="center" vertical="center" wrapText="1"/>
      <protection hidden="1"/>
    </xf>
    <xf numFmtId="0" fontId="14" fillId="0" borderId="10" xfId="0" applyFont="1" applyBorder="1" applyAlignment="1" applyProtection="1">
      <alignment horizontal="center" vertical="center" wrapText="1"/>
      <protection hidden="1"/>
    </xf>
    <xf numFmtId="0" fontId="11" fillId="4" borderId="10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7" borderId="8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5" fillId="3" borderId="10" xfId="0" applyFont="1" applyFill="1" applyBorder="1" applyAlignment="1" applyProtection="1">
      <alignment horizontal="center" vertical="center" wrapText="1"/>
      <protection hidden="1"/>
    </xf>
    <xf numFmtId="0" fontId="13" fillId="6" borderId="29" xfId="0" applyFont="1" applyFill="1" applyBorder="1" applyAlignment="1" applyProtection="1">
      <alignment horizontal="center" vertical="center" wrapText="1"/>
      <protection hidden="1"/>
    </xf>
    <xf numFmtId="0" fontId="7" fillId="0" borderId="7" xfId="1" applyFont="1" applyBorder="1" applyAlignment="1">
      <alignment horizontal="center" vertical="center" wrapText="1"/>
    </xf>
    <xf numFmtId="0" fontId="7" fillId="0" borderId="8" xfId="1" applyFont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 wrapText="1"/>
    </xf>
    <xf numFmtId="0" fontId="7" fillId="0" borderId="10" xfId="1" applyFont="1" applyBorder="1" applyAlignment="1" applyProtection="1">
      <alignment horizontal="center" vertical="center"/>
      <protection locked="0"/>
    </xf>
    <xf numFmtId="0" fontId="10" fillId="0" borderId="10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0" fillId="3" borderId="10" xfId="0" applyFill="1" applyBorder="1" applyAlignment="1">
      <alignment horizontal="center"/>
    </xf>
    <xf numFmtId="0" fontId="13" fillId="4" borderId="1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0" borderId="2" xfId="1" applyFont="1" applyBorder="1" applyAlignment="1">
      <alignment horizontal="left" vertical="center" wrapText="1"/>
    </xf>
    <xf numFmtId="0" fontId="7" fillId="0" borderId="3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7" fillId="0" borderId="13" xfId="1" applyFont="1" applyBorder="1" applyAlignment="1">
      <alignment horizontal="center" vertical="center" wrapText="1"/>
    </xf>
    <xf numFmtId="0" fontId="7" fillId="0" borderId="14" xfId="1" applyFont="1" applyBorder="1" applyAlignment="1">
      <alignment horizontal="center" vertical="center" wrapText="1"/>
    </xf>
    <xf numFmtId="0" fontId="7" fillId="0" borderId="16" xfId="1" applyFont="1" applyBorder="1" applyAlignment="1">
      <alignment horizontal="left" vertical="center" wrapText="1"/>
    </xf>
    <xf numFmtId="0" fontId="7" fillId="0" borderId="17" xfId="1" applyFont="1" applyBorder="1" applyAlignment="1">
      <alignment horizontal="left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2" fillId="2" borderId="21" xfId="1" applyFont="1" applyFill="1" applyBorder="1" applyAlignment="1">
      <alignment horizontal="center" vertical="center" wrapText="1"/>
    </xf>
    <xf numFmtId="0" fontId="2" fillId="2" borderId="22" xfId="1" applyFont="1" applyFill="1" applyBorder="1" applyAlignment="1">
      <alignment horizontal="center" vertical="center" wrapText="1"/>
    </xf>
    <xf numFmtId="0" fontId="2" fillId="2" borderId="23" xfId="1" applyFont="1" applyFill="1" applyBorder="1" applyAlignment="1">
      <alignment horizontal="center" vertical="center" wrapText="1"/>
    </xf>
    <xf numFmtId="0" fontId="2" fillId="2" borderId="24" xfId="1" applyFont="1" applyFill="1" applyBorder="1" applyAlignment="1">
      <alignment horizontal="center" vertical="center" wrapText="1"/>
    </xf>
    <xf numFmtId="0" fontId="6" fillId="2" borderId="21" xfId="1" applyFont="1" applyFill="1" applyBorder="1" applyAlignment="1">
      <alignment horizontal="center" vertical="center" wrapText="1"/>
    </xf>
    <xf numFmtId="0" fontId="6" fillId="2" borderId="22" xfId="1" applyFont="1" applyFill="1" applyBorder="1" applyAlignment="1">
      <alignment horizontal="center" vertical="center" wrapText="1"/>
    </xf>
    <xf numFmtId="0" fontId="6" fillId="2" borderId="23" xfId="1" applyFont="1" applyFill="1" applyBorder="1" applyAlignment="1">
      <alignment horizontal="center" vertical="center" wrapText="1"/>
    </xf>
    <xf numFmtId="0" fontId="6" fillId="2" borderId="24" xfId="1" applyFont="1" applyFill="1" applyBorder="1" applyAlignment="1">
      <alignment horizontal="center" vertical="center" wrapText="1"/>
    </xf>
    <xf numFmtId="0" fontId="1" fillId="0" borderId="1" xfId="1" applyBorder="1" applyAlignment="1">
      <alignment horizontal="left" vertical="center" wrapText="1"/>
    </xf>
    <xf numFmtId="0" fontId="1" fillId="0" borderId="2" xfId="1" applyBorder="1" applyAlignment="1">
      <alignment horizontal="left" vertical="center" wrapText="1"/>
    </xf>
    <xf numFmtId="0" fontId="1" fillId="0" borderId="6" xfId="1" applyBorder="1" applyAlignment="1">
      <alignment horizontal="left" vertical="center" wrapText="1"/>
    </xf>
    <xf numFmtId="0" fontId="1" fillId="0" borderId="10" xfId="1" applyBorder="1" applyAlignment="1">
      <alignment horizontal="left" vertical="center" wrapText="1"/>
    </xf>
    <xf numFmtId="0" fontId="1" fillId="0" borderId="12" xfId="1" applyBorder="1" applyAlignment="1">
      <alignment horizontal="left" vertical="center" wrapText="1"/>
    </xf>
    <xf numFmtId="0" fontId="1" fillId="0" borderId="13" xfId="1" applyBorder="1" applyAlignment="1">
      <alignment horizontal="left" vertical="center" wrapText="1"/>
    </xf>
    <xf numFmtId="0" fontId="0" fillId="0" borderId="2" xfId="1" applyFont="1" applyBorder="1" applyAlignment="1">
      <alignment horizontal="left" vertical="top" wrapText="1"/>
    </xf>
    <xf numFmtId="0" fontId="1" fillId="0" borderId="2" xfId="1" applyBorder="1" applyAlignment="1">
      <alignment horizontal="left" vertical="top" wrapText="1"/>
    </xf>
    <xf numFmtId="0" fontId="1" fillId="0" borderId="10" xfId="1" applyBorder="1" applyAlignment="1">
      <alignment horizontal="left" vertical="top" wrapText="1"/>
    </xf>
    <xf numFmtId="0" fontId="1" fillId="0" borderId="13" xfId="1" applyBorder="1" applyAlignment="1">
      <alignment horizontal="left" vertical="top" wrapText="1"/>
    </xf>
    <xf numFmtId="0" fontId="1" fillId="0" borderId="5" xfId="1" applyBorder="1" applyAlignment="1">
      <alignment horizontal="left" vertical="top" wrapText="1"/>
    </xf>
    <xf numFmtId="0" fontId="1" fillId="0" borderId="11" xfId="1" applyBorder="1" applyAlignment="1">
      <alignment horizontal="left" vertical="top" wrapText="1"/>
    </xf>
    <xf numFmtId="0" fontId="1" fillId="0" borderId="14" xfId="1" applyBorder="1" applyAlignment="1">
      <alignment horizontal="left" vertical="top" wrapText="1"/>
    </xf>
    <xf numFmtId="0" fontId="0" fillId="0" borderId="1" xfId="1" applyFont="1" applyBorder="1" applyAlignment="1">
      <alignment horizontal="left" vertical="center" wrapText="1"/>
    </xf>
    <xf numFmtId="0" fontId="8" fillId="0" borderId="21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6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0" fontId="7" fillId="0" borderId="26" xfId="0" applyFont="1" applyBorder="1" applyAlignment="1">
      <alignment horizontal="left" vertical="top" wrapText="1"/>
    </xf>
    <xf numFmtId="0" fontId="7" fillId="0" borderId="27" xfId="0" applyFont="1" applyBorder="1" applyAlignment="1">
      <alignment horizontal="left" vertical="top" wrapText="1"/>
    </xf>
    <xf numFmtId="0" fontId="7" fillId="0" borderId="23" xfId="0" applyFont="1" applyBorder="1" applyAlignment="1">
      <alignment horizontal="left" vertical="top" wrapText="1"/>
    </xf>
    <xf numFmtId="0" fontId="7" fillId="0" borderId="24" xfId="0" applyFont="1" applyBorder="1" applyAlignment="1">
      <alignment horizontal="left" vertical="top" wrapText="1"/>
    </xf>
    <xf numFmtId="0" fontId="5" fillId="0" borderId="0" xfId="1" applyFont="1" applyAlignment="1">
      <alignment horizontal="center" vertical="center" wrapText="1"/>
    </xf>
    <xf numFmtId="0" fontId="9" fillId="0" borderId="2" xfId="1" applyFont="1" applyBorder="1" applyAlignment="1">
      <alignment horizontal="left" vertical="center" wrapText="1"/>
    </xf>
    <xf numFmtId="0" fontId="7" fillId="0" borderId="5" xfId="1" applyFont="1" applyBorder="1" applyAlignment="1">
      <alignment horizontal="left" vertical="center" wrapText="1"/>
    </xf>
    <xf numFmtId="0" fontId="9" fillId="0" borderId="13" xfId="1" applyFont="1" applyBorder="1" applyAlignment="1">
      <alignment horizontal="left" vertical="top" wrapText="1"/>
    </xf>
    <xf numFmtId="0" fontId="7" fillId="0" borderId="13" xfId="1" applyFont="1" applyBorder="1" applyAlignment="1">
      <alignment horizontal="left" vertical="top" wrapText="1"/>
    </xf>
    <xf numFmtId="0" fontId="7" fillId="0" borderId="14" xfId="1" applyFont="1" applyBorder="1" applyAlignment="1">
      <alignment horizontal="left" vertical="top" wrapText="1"/>
    </xf>
    <xf numFmtId="0" fontId="6" fillId="2" borderId="5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left" vertical="top" wrapText="1"/>
    </xf>
    <xf numFmtId="0" fontId="7" fillId="0" borderId="28" xfId="0" applyFont="1" applyBorder="1" applyAlignment="1">
      <alignment horizontal="left" vertical="top" wrapText="1"/>
    </xf>
    <xf numFmtId="0" fontId="18" fillId="0" borderId="25" xfId="0" applyFont="1" applyBorder="1" applyAlignment="1">
      <alignment wrapText="1"/>
    </xf>
  </cellXfs>
  <cellStyles count="2">
    <cellStyle name="Normal" xfId="0" builtinId="0"/>
    <cellStyle name="Normal 2 4 3" xfId="1" xr:uid="{6E7EC95F-05E2-47ED-A0B2-144E236D757E}"/>
  </cellStyles>
  <dxfs count="0"/>
  <tableStyles count="0" defaultTableStyle="TableStyleMedium2" defaultPivotStyle="PivotStyleLight16"/>
  <colors>
    <mruColors>
      <color rgb="FF1F4E78"/>
      <color rgb="FFBDD7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externalLink" Target="externalLinks/externalLink4.xml"/><Relationship Id="rId10" Type="http://schemas.microsoft.com/office/2022/10/relationships/richValueRel" Target="richData/richValueRel.xml"/><Relationship Id="rId4" Type="http://schemas.openxmlformats.org/officeDocument/2006/relationships/externalLink" Target="externalLinks/externalLink3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eduardo_rodrigueza_unicafam_edu_co/Documents/Desktop/UA%20Desarrollo%20de%20Aplicaciones%20para%20Telecomunicacion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23EED28/Formato%20UA%20Programa%20de%20Ingenieri&#769;a%20de%20Telecomunicacione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carlos_carrasco_unicafam_edu_co/Documents/En%20proceso/Plan%202023%20Circuitos%20electr&#243;nicos%20II%20V0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vicios/OneDrive%20-%20Fundaci&#243;n%20Universitaria%20Cafam/Santiago/UA%20guias/8.%20Octavo%20semestre%20UA%20Espec&#237;fic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stroCompetencias"/>
      <sheetName val="MaestroResultadosA"/>
      <sheetName val="MaestroUA"/>
      <sheetName val="Desarrollo Aplicaciones I"/>
      <sheetName val="Desarrollo Aplicaciones II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stroCompetencias"/>
      <sheetName val="MaestroResultadosA"/>
      <sheetName val="MaestroUA"/>
      <sheetName val="Algoritmos y Programación"/>
      <sheetName val="Programación Avanzada"/>
      <sheetName val="DesarrolloAplicaciones I"/>
      <sheetName val="DesarrolloAplicaciones II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stroCompetencias"/>
      <sheetName val="MaestroResultadosA"/>
      <sheetName val="MaestroRecursos"/>
      <sheetName val="MaestroNombreUA"/>
      <sheetName val="MaestroUA"/>
      <sheetName val="Hoja1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df"/>
      <sheetName val="Producción limpia"/>
      <sheetName val="Desarrollo de productos y servi"/>
      <sheetName val="Logística integral "/>
      <sheetName val="Practica profesional II"/>
    </sheetNames>
    <sheetDataSet>
      <sheetData sheetId="0"/>
      <sheetData sheetId="1"/>
      <sheetData sheetId="2"/>
      <sheetData sheetId="3"/>
      <sheetData sheetId="4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6CA14-5735-464B-A67B-C3B02C5F1FB2}">
  <sheetPr>
    <tabColor rgb="FF00B0F0"/>
  </sheetPr>
  <dimension ref="B1:P39"/>
  <sheetViews>
    <sheetView tabSelected="1" topLeftCell="B20" workbookViewId="0">
      <selection activeCell="C22" sqref="C22:O22"/>
    </sheetView>
  </sheetViews>
  <sheetFormatPr defaultColWidth="12.85546875" defaultRowHeight="15"/>
  <cols>
    <col min="1" max="1" width="5.7109375" style="1" customWidth="1"/>
    <col min="2" max="6" width="24.7109375" style="1" customWidth="1"/>
    <col min="7" max="14" width="12.7109375" style="1" customWidth="1"/>
    <col min="15" max="15" width="24.7109375" style="1" customWidth="1"/>
    <col min="16" max="16" width="6.42578125" style="1" customWidth="1"/>
    <col min="17" max="16384" width="12.85546875" style="1"/>
  </cols>
  <sheetData>
    <row r="1" spans="2:15" ht="15" customHeight="1"/>
    <row r="2" spans="2:15" ht="25.5" customHeight="1">
      <c r="B2" s="43" t="e" vm="1">
        <v>#VALUE!</v>
      </c>
      <c r="C2" s="33" t="s">
        <v>0</v>
      </c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</row>
    <row r="3" spans="2:15" ht="24" customHeight="1">
      <c r="B3" s="43"/>
      <c r="C3" s="44" t="s">
        <v>1</v>
      </c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2:15" ht="24" customHeight="1">
      <c r="B4" s="43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</row>
    <row r="5" spans="2:15" ht="20.100000000000001" customHeight="1">
      <c r="B5" s="15" t="s">
        <v>2</v>
      </c>
      <c r="C5" s="14" t="s">
        <v>3</v>
      </c>
      <c r="D5" s="33" t="s">
        <v>4</v>
      </c>
      <c r="E5" s="33"/>
      <c r="F5" s="33"/>
      <c r="G5" s="14">
        <v>1</v>
      </c>
      <c r="H5" s="33" t="s">
        <v>5</v>
      </c>
      <c r="I5" s="33"/>
      <c r="J5" s="33"/>
      <c r="K5" s="45"/>
      <c r="L5" s="45"/>
      <c r="M5" s="46" t="s">
        <v>6</v>
      </c>
      <c r="N5" s="46"/>
      <c r="O5" s="14" t="s">
        <v>7</v>
      </c>
    </row>
    <row r="6" spans="2:15" ht="20.100000000000001" customHeight="1"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</row>
    <row r="7" spans="2:15" ht="20.100000000000001" customHeight="1" thickBot="1">
      <c r="B7" s="48" t="s">
        <v>8</v>
      </c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</row>
    <row r="8" spans="2:15" ht="30">
      <c r="B8" s="5" t="s">
        <v>9</v>
      </c>
      <c r="C8" s="49" t="s">
        <v>10</v>
      </c>
      <c r="D8" s="49"/>
      <c r="E8" s="49"/>
      <c r="F8" s="49"/>
      <c r="G8" s="9" t="s">
        <v>11</v>
      </c>
      <c r="H8" s="50">
        <v>2</v>
      </c>
      <c r="I8" s="51"/>
      <c r="J8" s="9" t="s">
        <v>12</v>
      </c>
      <c r="K8" s="2">
        <f>H8*16</f>
        <v>32</v>
      </c>
      <c r="L8" s="9" t="s">
        <v>13</v>
      </c>
      <c r="M8" s="2">
        <f>K8*2</f>
        <v>64</v>
      </c>
      <c r="N8" s="9" t="s">
        <v>14</v>
      </c>
      <c r="O8" s="3" t="s">
        <v>15</v>
      </c>
    </row>
    <row r="9" spans="2:15" ht="15" customHeight="1">
      <c r="B9" s="6" t="s">
        <v>16</v>
      </c>
      <c r="C9" s="39" t="s">
        <v>17</v>
      </c>
      <c r="D9" s="40"/>
      <c r="E9" s="40"/>
      <c r="F9" s="40"/>
      <c r="G9" s="40"/>
      <c r="H9" s="40"/>
      <c r="I9" s="41"/>
      <c r="J9" s="10" t="s">
        <v>18</v>
      </c>
      <c r="K9" s="42" t="s">
        <v>19</v>
      </c>
      <c r="L9" s="42"/>
      <c r="M9" s="42"/>
      <c r="N9" s="10" t="s">
        <v>20</v>
      </c>
      <c r="O9" s="4">
        <v>14029300501</v>
      </c>
    </row>
    <row r="10" spans="2:15" ht="15.75" thickBot="1">
      <c r="B10" s="7" t="s">
        <v>21</v>
      </c>
      <c r="C10" s="52" t="s">
        <v>22</v>
      </c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3"/>
    </row>
    <row r="11" spans="2:15" ht="70.5" customHeight="1" thickBot="1">
      <c r="B11" s="8" t="s">
        <v>23</v>
      </c>
      <c r="C11" s="54" t="s">
        <v>24</v>
      </c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5"/>
    </row>
    <row r="12" spans="2:15" ht="36" customHeight="1" thickBot="1">
      <c r="B12" s="56" t="s">
        <v>25</v>
      </c>
      <c r="C12" s="57"/>
      <c r="D12" s="57" t="s">
        <v>26</v>
      </c>
      <c r="E12" s="57"/>
      <c r="F12" s="57"/>
      <c r="G12" s="57"/>
      <c r="H12" s="57" t="s">
        <v>27</v>
      </c>
      <c r="I12" s="57"/>
      <c r="J12" s="57"/>
      <c r="K12" s="57" t="s">
        <v>28</v>
      </c>
      <c r="L12" s="57"/>
      <c r="M12" s="57"/>
      <c r="N12" s="57" t="s">
        <v>29</v>
      </c>
      <c r="O12" s="58"/>
    </row>
    <row r="13" spans="2:15" ht="108" customHeight="1">
      <c r="B13" s="71" t="s">
        <v>30</v>
      </c>
      <c r="C13" s="72"/>
      <c r="D13" s="77" t="s">
        <v>31</v>
      </c>
      <c r="E13" s="78"/>
      <c r="F13" s="78"/>
      <c r="G13" s="78"/>
      <c r="H13" s="77" t="s">
        <v>32</v>
      </c>
      <c r="I13" s="78"/>
      <c r="J13" s="78"/>
      <c r="K13" s="77" t="s">
        <v>33</v>
      </c>
      <c r="L13" s="78"/>
      <c r="M13" s="78"/>
      <c r="N13" s="77" t="s">
        <v>34</v>
      </c>
      <c r="O13" s="81"/>
    </row>
    <row r="14" spans="2:15" ht="108" customHeight="1">
      <c r="B14" s="73"/>
      <c r="C14" s="74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82"/>
    </row>
    <row r="15" spans="2:15" ht="108" customHeight="1">
      <c r="B15" s="73"/>
      <c r="C15" s="74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82"/>
    </row>
    <row r="16" spans="2:15" ht="330" customHeight="1" thickBot="1">
      <c r="B16" s="75"/>
      <c r="C16" s="76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3"/>
    </row>
    <row r="17" spans="2:16" ht="44.1" customHeight="1">
      <c r="B17" s="59" t="s">
        <v>35</v>
      </c>
      <c r="C17" s="61" t="s">
        <v>36</v>
      </c>
      <c r="D17" s="61" t="s">
        <v>37</v>
      </c>
      <c r="E17" s="61"/>
      <c r="F17" s="61"/>
      <c r="G17" s="63" t="s">
        <v>38</v>
      </c>
      <c r="H17" s="64"/>
      <c r="I17" s="67" t="s">
        <v>39</v>
      </c>
      <c r="J17" s="68"/>
      <c r="K17" s="67" t="s">
        <v>40</v>
      </c>
      <c r="L17" s="68"/>
      <c r="M17" s="67" t="s">
        <v>41</v>
      </c>
      <c r="N17" s="68"/>
      <c r="O17" s="103" t="s">
        <v>42</v>
      </c>
    </row>
    <row r="18" spans="2:16" ht="15" customHeight="1" thickBot="1">
      <c r="B18" s="60"/>
      <c r="C18" s="62"/>
      <c r="D18" s="13" t="s">
        <v>43</v>
      </c>
      <c r="E18" s="13" t="s">
        <v>44</v>
      </c>
      <c r="F18" s="13" t="s">
        <v>45</v>
      </c>
      <c r="G18" s="65"/>
      <c r="H18" s="66"/>
      <c r="I18" s="69"/>
      <c r="J18" s="70"/>
      <c r="K18" s="69"/>
      <c r="L18" s="70"/>
      <c r="M18" s="69"/>
      <c r="N18" s="70"/>
      <c r="O18" s="104"/>
    </row>
    <row r="19" spans="2:16" ht="141.75" customHeight="1">
      <c r="B19" s="84" t="s">
        <v>46</v>
      </c>
      <c r="C19" s="21" t="s">
        <v>47</v>
      </c>
      <c r="D19" s="21" t="s">
        <v>48</v>
      </c>
      <c r="E19" s="21" t="s">
        <v>49</v>
      </c>
      <c r="F19" s="21" t="s">
        <v>50</v>
      </c>
      <c r="G19" s="85" t="s">
        <v>51</v>
      </c>
      <c r="H19" s="86"/>
      <c r="I19" s="91" t="s">
        <v>52</v>
      </c>
      <c r="J19" s="92"/>
      <c r="K19" s="91" t="s">
        <v>53</v>
      </c>
      <c r="L19" s="92"/>
      <c r="M19" s="91" t="s">
        <v>54</v>
      </c>
      <c r="N19" s="92"/>
      <c r="O19" s="107" t="s">
        <v>55</v>
      </c>
      <c r="P19" s="97"/>
    </row>
    <row r="20" spans="2:16" ht="153.75" customHeight="1">
      <c r="B20" s="73"/>
      <c r="C20" s="22" t="s">
        <v>56</v>
      </c>
      <c r="D20" s="22" t="s">
        <v>57</v>
      </c>
      <c r="E20" s="22" t="s">
        <v>58</v>
      </c>
      <c r="F20" s="22" t="s">
        <v>59</v>
      </c>
      <c r="G20" s="87"/>
      <c r="H20" s="88"/>
      <c r="I20" s="93"/>
      <c r="J20" s="94"/>
      <c r="K20" s="93"/>
      <c r="L20" s="94"/>
      <c r="M20" s="93"/>
      <c r="N20" s="94"/>
      <c r="O20" s="105"/>
      <c r="P20" s="97"/>
    </row>
    <row r="21" spans="2:16" ht="155.25" customHeight="1" thickBot="1">
      <c r="B21" s="73"/>
      <c r="C21" s="22" t="s">
        <v>60</v>
      </c>
      <c r="D21" s="22" t="s">
        <v>61</v>
      </c>
      <c r="E21" s="22" t="s">
        <v>62</v>
      </c>
      <c r="F21" s="22" t="s">
        <v>63</v>
      </c>
      <c r="G21" s="89"/>
      <c r="H21" s="90"/>
      <c r="I21" s="95"/>
      <c r="J21" s="96"/>
      <c r="K21" s="95"/>
      <c r="L21" s="96"/>
      <c r="M21" s="95"/>
      <c r="N21" s="96"/>
      <c r="O21" s="106"/>
      <c r="P21" s="97"/>
    </row>
    <row r="22" spans="2:16" ht="92.25" customHeight="1">
      <c r="B22" s="11" t="s">
        <v>64</v>
      </c>
      <c r="C22" s="98" t="s">
        <v>65</v>
      </c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99"/>
    </row>
    <row r="23" spans="2:16" ht="24.75" customHeight="1" thickBot="1">
      <c r="B23" s="12" t="s">
        <v>66</v>
      </c>
      <c r="C23" s="100"/>
      <c r="D23" s="101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2"/>
    </row>
    <row r="25" spans="2:16" ht="20.100000000000001" customHeight="1">
      <c r="B25" s="38" t="s">
        <v>67</v>
      </c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</row>
    <row r="26" spans="2:16" ht="20.100000000000001" customHeight="1">
      <c r="B26" s="23" t="s">
        <v>4</v>
      </c>
      <c r="C26" s="23"/>
      <c r="D26" s="23" t="s">
        <v>68</v>
      </c>
      <c r="E26" s="23"/>
      <c r="F26" s="23"/>
      <c r="G26" s="24" t="s">
        <v>69</v>
      </c>
      <c r="H26" s="24"/>
      <c r="I26" s="24"/>
      <c r="J26" s="24"/>
      <c r="K26" s="24"/>
      <c r="L26" s="24"/>
      <c r="M26" s="24"/>
      <c r="N26" s="24"/>
      <c r="O26" s="25"/>
    </row>
    <row r="27" spans="2:16" ht="20.100000000000001" customHeight="1">
      <c r="B27" s="23"/>
      <c r="C27" s="23"/>
      <c r="D27" s="19" t="s">
        <v>70</v>
      </c>
      <c r="E27" s="19" t="s">
        <v>71</v>
      </c>
      <c r="F27" s="19" t="s">
        <v>72</v>
      </c>
      <c r="G27" s="26"/>
      <c r="H27" s="26"/>
      <c r="I27" s="26"/>
      <c r="J27" s="26"/>
      <c r="K27" s="26"/>
      <c r="L27" s="26"/>
      <c r="M27" s="26"/>
      <c r="N27" s="26"/>
      <c r="O27" s="27"/>
    </row>
    <row r="28" spans="2:16" ht="20.100000000000001" customHeight="1">
      <c r="B28" s="32">
        <v>1</v>
      </c>
      <c r="C28" s="32"/>
      <c r="D28" s="16"/>
      <c r="E28" s="16"/>
      <c r="F28" s="20"/>
      <c r="G28" s="28" t="s">
        <v>73</v>
      </c>
      <c r="H28" s="28"/>
      <c r="I28" s="28"/>
      <c r="J28" s="28"/>
      <c r="K28" s="28"/>
      <c r="L28" s="28"/>
      <c r="M28" s="28"/>
      <c r="N28" s="28"/>
      <c r="O28" s="29"/>
    </row>
    <row r="29" spans="2:16" ht="20.100000000000001" customHeight="1">
      <c r="B29" s="17"/>
      <c r="C29" s="18"/>
      <c r="D29" s="18"/>
      <c r="E29" s="18"/>
      <c r="F29" s="18"/>
      <c r="G29" s="17"/>
      <c r="H29" s="17"/>
      <c r="I29" s="17"/>
      <c r="J29" s="18"/>
      <c r="K29" s="18"/>
      <c r="L29" s="18"/>
      <c r="M29" s="18"/>
      <c r="N29" s="18"/>
      <c r="O29" s="18"/>
    </row>
    <row r="30" spans="2:16" ht="20.100000000000001" customHeight="1">
      <c r="B30" s="33" t="s">
        <v>74</v>
      </c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</row>
    <row r="31" spans="2:16" ht="20.100000000000001" customHeight="1">
      <c r="B31" s="33" t="s">
        <v>75</v>
      </c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</row>
    <row r="32" spans="2:16" ht="20.100000000000001" customHeight="1">
      <c r="B32" s="23" t="s">
        <v>76</v>
      </c>
      <c r="C32" s="23"/>
      <c r="D32" s="23"/>
      <c r="E32" s="23"/>
      <c r="F32" s="23"/>
      <c r="G32" s="23"/>
      <c r="H32" s="23" t="s">
        <v>77</v>
      </c>
      <c r="I32" s="23"/>
      <c r="J32" s="23"/>
      <c r="K32" s="23"/>
      <c r="L32" s="23"/>
      <c r="M32" s="23" t="s">
        <v>78</v>
      </c>
      <c r="N32" s="23"/>
      <c r="O32" s="23"/>
    </row>
    <row r="33" spans="2:15" ht="20.100000000000001" customHeight="1">
      <c r="B33" s="30" t="s">
        <v>79</v>
      </c>
      <c r="C33" s="30"/>
      <c r="D33" s="30"/>
      <c r="E33" s="30"/>
      <c r="F33" s="30"/>
      <c r="G33" s="30"/>
      <c r="H33" s="30" t="s">
        <v>80</v>
      </c>
      <c r="I33" s="30"/>
      <c r="J33" s="30"/>
      <c r="K33" s="30"/>
      <c r="L33" s="30"/>
      <c r="M33" s="31" t="s">
        <v>81</v>
      </c>
      <c r="N33" s="30"/>
      <c r="O33" s="30"/>
    </row>
    <row r="34" spans="2:15" ht="20.100000000000001" customHeight="1">
      <c r="B34" s="23" t="s">
        <v>82</v>
      </c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</row>
    <row r="35" spans="2:15" ht="20.100000000000001" customHeight="1">
      <c r="B35" s="23" t="s">
        <v>76</v>
      </c>
      <c r="C35" s="23"/>
      <c r="D35" s="23"/>
      <c r="E35" s="23"/>
      <c r="F35" s="23"/>
      <c r="G35" s="23"/>
      <c r="H35" s="23" t="s">
        <v>77</v>
      </c>
      <c r="I35" s="23"/>
      <c r="J35" s="23"/>
      <c r="K35" s="23"/>
      <c r="L35" s="23"/>
      <c r="M35" s="23" t="s">
        <v>78</v>
      </c>
      <c r="N35" s="23"/>
      <c r="O35" s="23"/>
    </row>
    <row r="36" spans="2:15" ht="20.100000000000001" customHeight="1">
      <c r="B36" s="34"/>
      <c r="C36" s="35"/>
      <c r="D36" s="35"/>
      <c r="E36" s="35"/>
      <c r="F36" s="35"/>
      <c r="G36" s="36"/>
      <c r="H36" s="34"/>
      <c r="I36" s="35"/>
      <c r="J36" s="35"/>
      <c r="K36" s="35"/>
      <c r="L36" s="36"/>
      <c r="M36" s="37"/>
      <c r="N36" s="30"/>
      <c r="O36" s="30"/>
    </row>
    <row r="37" spans="2:15" ht="20.100000000000001" customHeight="1">
      <c r="B37" s="23" t="s">
        <v>83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</row>
    <row r="38" spans="2:15" ht="20.100000000000001" customHeight="1">
      <c r="B38" s="23" t="s">
        <v>76</v>
      </c>
      <c r="C38" s="23"/>
      <c r="D38" s="23"/>
      <c r="E38" s="23"/>
      <c r="F38" s="23"/>
      <c r="G38" s="23"/>
      <c r="H38" s="23" t="s">
        <v>77</v>
      </c>
      <c r="I38" s="23"/>
      <c r="J38" s="23"/>
      <c r="K38" s="23"/>
      <c r="L38" s="23"/>
      <c r="M38" s="23" t="s">
        <v>78</v>
      </c>
      <c r="N38" s="23"/>
      <c r="O38" s="23"/>
    </row>
    <row r="39" spans="2:15" ht="20.100000000000001" customHeight="1"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</row>
  </sheetData>
  <mergeCells count="70">
    <mergeCell ref="P19:P21"/>
    <mergeCell ref="C22:O22"/>
    <mergeCell ref="C23:O23"/>
    <mergeCell ref="K17:L18"/>
    <mergeCell ref="M17:N18"/>
    <mergeCell ref="O17:O18"/>
    <mergeCell ref="O19:O21"/>
    <mergeCell ref="B19:B21"/>
    <mergeCell ref="G19:H21"/>
    <mergeCell ref="I19:J21"/>
    <mergeCell ref="K19:L21"/>
    <mergeCell ref="M19:N21"/>
    <mergeCell ref="B13:C16"/>
    <mergeCell ref="D13:G16"/>
    <mergeCell ref="H13:J16"/>
    <mergeCell ref="K13:M16"/>
    <mergeCell ref="N13:O16"/>
    <mergeCell ref="B17:B18"/>
    <mergeCell ref="C17:C18"/>
    <mergeCell ref="D17:F17"/>
    <mergeCell ref="G17:H18"/>
    <mergeCell ref="I17:J18"/>
    <mergeCell ref="C11:O11"/>
    <mergeCell ref="B12:C12"/>
    <mergeCell ref="D12:G12"/>
    <mergeCell ref="H12:J12"/>
    <mergeCell ref="K12:M12"/>
    <mergeCell ref="N12:O12"/>
    <mergeCell ref="B25:O25"/>
    <mergeCell ref="B26:C27"/>
    <mergeCell ref="C9:I9"/>
    <mergeCell ref="K9:M9"/>
    <mergeCell ref="B2:B4"/>
    <mergeCell ref="C2:O2"/>
    <mergeCell ref="C3:O4"/>
    <mergeCell ref="D5:F5"/>
    <mergeCell ref="H5:J5"/>
    <mergeCell ref="K5:L5"/>
    <mergeCell ref="M5:N5"/>
    <mergeCell ref="B6:O6"/>
    <mergeCell ref="B7:O7"/>
    <mergeCell ref="C8:F8"/>
    <mergeCell ref="H8:I8"/>
    <mergeCell ref="C10:O10"/>
    <mergeCell ref="B39:G39"/>
    <mergeCell ref="H39:L39"/>
    <mergeCell ref="M39:O39"/>
    <mergeCell ref="B34:O34"/>
    <mergeCell ref="B35:G35"/>
    <mergeCell ref="H35:L35"/>
    <mergeCell ref="M35:O35"/>
    <mergeCell ref="B36:G36"/>
    <mergeCell ref="H36:L36"/>
    <mergeCell ref="M36:O36"/>
    <mergeCell ref="D26:F26"/>
    <mergeCell ref="G26:O27"/>
    <mergeCell ref="G28:O28"/>
    <mergeCell ref="B37:O37"/>
    <mergeCell ref="B38:G38"/>
    <mergeCell ref="H38:L38"/>
    <mergeCell ref="M38:O38"/>
    <mergeCell ref="B32:G32"/>
    <mergeCell ref="H32:L32"/>
    <mergeCell ref="M32:O32"/>
    <mergeCell ref="B33:G33"/>
    <mergeCell ref="H33:L33"/>
    <mergeCell ref="M33:O33"/>
    <mergeCell ref="B28:C28"/>
    <mergeCell ref="B30:O30"/>
    <mergeCell ref="B31:O3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Fulbia Emilia Cerón Gomez</dc:creator>
  <cp:keywords/>
  <dc:description/>
  <cp:lastModifiedBy>Maria Camila Vasquez Diaz</cp:lastModifiedBy>
  <cp:revision/>
  <dcterms:created xsi:type="dcterms:W3CDTF">2024-01-17T15:58:41Z</dcterms:created>
  <dcterms:modified xsi:type="dcterms:W3CDTF">2025-11-06T16:07:05Z</dcterms:modified>
  <cp:category/>
  <cp:contentStatus/>
</cp:coreProperties>
</file>