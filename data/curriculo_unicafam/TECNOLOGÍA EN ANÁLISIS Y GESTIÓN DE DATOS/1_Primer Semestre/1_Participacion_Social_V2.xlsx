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8" documentId="14_{35A3AD60-BBA9-414D-91FB-0766F8FFE40E}" xr6:coauthVersionLast="47" xr6:coauthVersionMax="47" xr10:uidLastSave="{5D61F606-8B1A-4C4E-8015-4416D3CB90C2}"/>
  <bookViews>
    <workbookView xWindow="26955" yWindow="720" windowWidth="20460" windowHeight="10770" xr2:uid="{09B433F9-A84E-4D29-9680-27C47AF0F189}"/>
  </bookViews>
  <sheets>
    <sheet name="1Participacion Social" sheetId="1" r:id="rId1"/>
  </sheets>
  <externalReferences>
    <externalReference r:id="rId2"/>
    <externalReference r:id="rId3"/>
    <externalReference r:id="rId4"/>
    <externalReference r:id="rId5"/>
    <externalReference r:id="rId6"/>
    <externalReference r:id="rId7"/>
    <externalReference r:id="rId8"/>
  </externalReferences>
  <definedNames>
    <definedName name="Competencias">[1]MaestroCompetencias!$B$2:$B$11</definedName>
    <definedName name="CRÉDITOS">'[2]Códigos '!$AK$70:$AK$74</definedName>
    <definedName name="DatosCompleto" localSheetId="0">[3]MaestroUA!$B$2:$M$89</definedName>
    <definedName name="DatosCompleto">[4]MaestroUA!$B$2:$M$89</definedName>
    <definedName name="ingenieria" localSheetId="0">#REF!</definedName>
    <definedName name="ingenieria">#REF!</definedName>
    <definedName name="RedacciónRecurso">[5]MaestroRecursos!$B$2:$B$102</definedName>
    <definedName name="ResultadoAprendizaje">[1]MaestroResultadosA!$B$2:$B$12</definedName>
    <definedName name="Semestre" localSheetId="0">[6]asdf!$A$13:$A$20</definedName>
    <definedName name="Semestre">[7]asdf!$A$13:$A$20</definedName>
    <definedName name="TIPOLOGÍA">'[2]Códigos '!$AJ$70:$AJ$72</definedName>
    <definedName name="UnidadAcademica" localSheetId="0">[3]MaestroUA!$B$2:$B$89</definedName>
    <definedName name="UnidadAcademica">[4]MaestroUA!$B$2:$B$89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<sst xmlns="http://schemas.openxmlformats.org/spreadsheetml/2006/main" count="92" uniqueCount="85">
  <si>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</si>
  <si>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</si>
  <si>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</si>
  <si>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</si>
  <si>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</si>
  <si>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</si>
  <si>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</si>
  <si>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</si>
  <si>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</si>
  <si>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</si>
  <si>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PARTICIPACIÓN SOCIAL</t>
  </si>
  <si>
    <t>N° Créditos:</t>
  </si>
  <si>
    <t>TFD:</t>
  </si>
  <si>
    <t>TTI:</t>
  </si>
  <si>
    <t>MODALIDAD:</t>
  </si>
  <si>
    <t>PRESENCIAL</t>
  </si>
  <si>
    <t>PROGRAMA:</t>
  </si>
  <si>
    <t>Tecnología de Análisis y Gestión de Datos</t>
  </si>
  <si>
    <t>SEMESTRE:</t>
  </si>
  <si>
    <t>I</t>
  </si>
  <si>
    <t>CÓDIGO:</t>
  </si>
  <si>
    <t>ÁREA DE FORMACIÓN:</t>
  </si>
  <si>
    <t>Transversal</t>
  </si>
  <si>
    <t>JUSTIFICACIÓN:</t>
  </si>
  <si>
    <t>El enfoque de la unidad se centra en la responsabilidad social universitaria (RSU) caracterizado en palabras de (De la Calle, García, &amp; Gimenez, 2007) por actividades en las cuales los estudiantes adquieren la capacidad de compromiso, de escucha, diálogo, son capaces de tomar distancia de los problemas, aprenden a mirar a través de los ojos del otro, a ponerse en su lugar, con un pensamiento crítico, desarrollando el sentido auténtico del servicio y de la solidaridad. Dicho enfoque está en consonancia y fundamentado en lo planteado en el artículo 9 del decreto 1038 de 2015 por el cual se reglamenta la cátedra de paz.
En esta línea y con el propósito de enmarcar el enfoque conceptual de la cátedra y las acciones que se desarrollan en los diversos proyectos de responsabilidad social universitaria, se relacionarán y se definirán con el propósito de sustentar el trabajo: 
a) Cultura de la paz: la cual se entiende como el sentido y vivencia de los valores ciudadanos, los derechos humanos, el Derecho Internacional Humanitario, la participación democrática, la prevención de la violencia y la resolución pacífica de los conflictos
 b) Educación para la paz: se entiende como la apropiación de conocimientos y competencias ciudadanas para la convivencia pacífica, la participación democrática, la construcción de equidad, el respeto por la pluralidad, los derechos humanos y el Derecho Internacional Humanitario
 c) Desarrollo sostenible: se entiende como aquel que conduce al crecimiento económico, la elevación de la calidad de la vida y al bienestar social, sin agotar la base de recursos naturales renovables en que se sustenta, 
Lo que se busca con este proceso con los estudiantes es lograr que se genere una experiencia de gana-gana que permita a los estudiantes el fortalecimiento de sus competencias comunicativas y profesionales, acudiendo a un proceso de transferencia de saberes disciplinares y de experiencia de vida.</t>
  </si>
  <si>
    <t xml:space="preserve">COMPETENCIA </t>
  </si>
  <si>
    <t>SABERES ESPECÍFICOS 
(saber)</t>
  </si>
  <si>
    <t xml:space="preserve">HABILIDADES O DESTREZAS 
(saber hacer) </t>
  </si>
  <si>
    <t xml:space="preserve">ACTITUDES 
(saber ser) </t>
  </si>
  <si>
    <t xml:space="preserve">APRENDER A APRENDER </t>
  </si>
  <si>
    <t xml:space="preserve">Proponer una solución a una problemática, interés o necesidad de un grupo humano u organización con enfoque social y/o socio-empresarial que articule tanto el saber disciplinar como la experiencia de vida y el compromiso personal con la investigación formativa, la cultura de paz y convivencia y el principio institucional de la responsabilidad social universitaria. </t>
  </si>
  <si>
    <t>Responsabilidad social universitaria
Responsabilidad social individual
Desarrollo sostenible
Proyección social
Cultura de paz y convivencia</t>
  </si>
  <si>
    <t>Pensamiento crítico, capacidad reflexiva,
Solución de problemas
Formulación de proyectos de investigación formativa con enfoque social</t>
  </si>
  <si>
    <t>Empatía, Compromiso y responsabilidad
Confianza y crecimiento personal
Paz y convivencia</t>
  </si>
  <si>
    <t>Toma de decisiones
Solución de problemas
Habilidades comunicativas
Autoconfianza
Autorregulación y planteamiento de metas</t>
  </si>
  <si>
    <t xml:space="preserve">RESULTADO DE APRENDIZAJE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</si>
  <si>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</si>
  <si>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</si>
  <si>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</si>
  <si>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</si>
  <si>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</si>
  <si>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</si>
  <si>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</si>
  <si>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</si>
  <si>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</si>
  <si>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 xml:space="preserve">Nivel Bajo </t>
  </si>
  <si>
    <t>Desarrolla actitudes de empatía, servicio, solidaridad y compasión,a traves de procesos de investigación formativa; atendiendo a problemáticas y necesidades de comunidades en contextos situados con enfoque de interacción social universitaria y alineada al desarrollo humano y sostenible, la construcción de la paz y la convivencia</t>
  </si>
  <si>
    <t xml:space="preserve">Infiere y sustenta la relación entre responsabilidad social tanto individual como universitaria, la paz y la convivencia con la práctica de proyección social que desarrollará en el contexto de intervención </t>
  </si>
  <si>
    <t>Distingue y destaca con argumentos la relación entre la propuesta de práctica de proyección social que desarrollará en el  contexto  especifico, con la responsabilidad social tanto individual como universitaria, la construcción de paz y convivencia.</t>
  </si>
  <si>
    <t>Describe la relación de la práctica de proyección social que desarrollará en el contexto especifico con los principios de la responsabilidad social tanto individual como universitaria, la construcción de paz y convivencia</t>
  </si>
  <si>
    <t>Relata la práctica de proyección social que desarrollará en el contexto especifico sin una relación evidente con los principios de la responsabilidad social tanto individual como  universitaria, la construcción de paz y convivencia.</t>
  </si>
  <si>
    <t>Aprendizaje Basado en Proyectos</t>
  </si>
  <si>
    <t xml:space="preserve">Para evaluar el conocimiento adquirido en el desarrollo del proyecto, se utilizará una rúbrica como herramienta principal de evaluación. Esta rúbrica considerará diversos aspectos, incluyendo la claridad y precisión en la presentación de la información, la profundidad del análisis, la aplicación práctica de los conocimientos previos y adquiridos durante la Unidad de Aprendizaje, la transferencia de estos conocimientos a lo largo de las cuatro fases del proyecto, y la calidad y pertinencia de las fuentes consultadas.
</t>
  </si>
  <si>
    <t>Con la rúbrica como herramienta de evaluación del desempeño se evidenciará:
A.) Responsabilidad
B.) Debate de ideas
C.) Diseño de planes y/o experimentos
D.) Recolección y análisis de datos
E.) Manejo de recursos disponibles, como el tiempo, los materiales y equipos
F.) Trabajo colaborativo
H.) Capacidad de planificación, ejecución y evaluación
I.) Autonomía
J.) Habilidades metacognitivas, como autodirección y autoevaluación
K.) Habilidades tecnológicas
L.) Integración de conceptos y conocimientos previos</t>
  </si>
  <si>
    <r>
      <t xml:space="preserve">Utilizando la rúbrica como herramienta de evaluación, se evidenciará el seguimiento progresivo y el cumplimiento gradual de los objetivos planteados en el proyecto en cada entregable #1, #2 y #3. a travez de 
</t>
    </r>
    <r>
      <rPr>
        <b/>
        <sz val="11"/>
        <rFont val="Calibri"/>
        <family val="2"/>
        <scheme val="minor"/>
      </rPr>
      <t xml:space="preserve">
Productos Tangibles</t>
    </r>
    <r>
      <rPr>
        <sz val="11"/>
        <rFont val="Calibri"/>
        <family val="2"/>
        <scheme val="minor"/>
      </rPr>
      <t xml:space="preserve">:
Prototipos, modelos, artefactos físicos o digitales desarrollados como resultado del proyecto.
Informes, documentos técnicos, manuales o presentaciones que documentan el proceso y los resultados del proyecto.
Presentaciones o Demostraciones:
</t>
    </r>
    <r>
      <rPr>
        <b/>
        <sz val="11"/>
        <rFont val="Calibri"/>
        <family val="2"/>
        <scheme val="minor"/>
      </rPr>
      <t>Exposiciones públicas</t>
    </r>
    <r>
      <rPr>
        <sz val="11"/>
        <rFont val="Calibri"/>
        <family val="2"/>
        <scheme val="minor"/>
      </rPr>
      <t xml:space="preserve">, presentaciones orales o demostraciones ante compañeros, profesores o evaluadores externos.
Defensa de resultados ante un panel de expertos.
</t>
    </r>
    <r>
      <rPr>
        <b/>
        <sz val="11"/>
        <rFont val="Calibri"/>
        <family val="2"/>
        <scheme val="minor"/>
      </rPr>
      <t>Portafolios:</t>
    </r>
    <r>
      <rPr>
        <sz val="11"/>
        <rFont val="Calibri"/>
        <family val="2"/>
        <scheme val="minor"/>
      </rPr>
      <t xml:space="preserve">
Recopilación de trabajos, diseños, análisis, investigaciones y reflexiones relacionadas con el proyecto.
Puede incluir evidencia de la planificación, el proceso de ejecución, los resultados obtenidos y las lecciones aprendidas.
</t>
    </r>
    <r>
      <rPr>
        <b/>
        <sz val="11"/>
        <rFont val="Calibri"/>
        <family val="2"/>
        <scheme val="minor"/>
      </rPr>
      <t>Entregables Finales:</t>
    </r>
    <r>
      <rPr>
        <sz val="11"/>
        <rFont val="Calibri"/>
        <family val="2"/>
        <scheme val="minor"/>
      </rPr>
      <t xml:space="preserve">
Documentos finales que resumen los hallazgos, conclusiones y recomendaciones del proyecto.
Productos finales que cumplen con los objetivos y criterios establecidos al inicio del proyecto.
</t>
    </r>
    <r>
      <rPr>
        <b/>
        <sz val="11"/>
        <rFont val="Calibri"/>
        <family val="2"/>
        <scheme val="minor"/>
      </rPr>
      <t>Impacto o Aplicación Práctica:</t>
    </r>
    <r>
      <rPr>
        <sz val="11"/>
        <rFont val="Calibri"/>
        <family val="2"/>
        <scheme val="minor"/>
      </rPr>
      <t xml:space="preserve">
Pruebas de concepto, implementaciones piloto o evidencia de la aplicación práctica de los resultados del proyecto en situaciones reales.
</t>
    </r>
  </si>
  <si>
    <r>
      <t xml:space="preserve">Se establecen las siguientes fases para las actividades de aprendizaje:
</t>
    </r>
    <r>
      <rPr>
        <b/>
        <sz val="11"/>
        <rFont val="Calibri"/>
        <family val="2"/>
        <scheme val="minor"/>
      </rPr>
      <t>Fase 0</t>
    </r>
    <r>
      <rPr>
        <sz val="11"/>
        <rFont val="Calibri"/>
        <family val="2"/>
        <scheme val="minor"/>
      </rPr>
      <t xml:space="preserve">: 
Presentación, lineamientos del Proyecto e indicaciones básicas procedimentales del proyecto
</t>
    </r>
    <r>
      <rPr>
        <b/>
        <sz val="11"/>
        <rFont val="Calibri"/>
        <family val="2"/>
        <scheme val="minor"/>
      </rPr>
      <t xml:space="preserve">
Fase 1:</t>
    </r>
    <r>
      <rPr>
        <sz val="11"/>
        <rFont val="Calibri"/>
        <family val="2"/>
        <scheme val="minor"/>
      </rPr>
      <t xml:space="preserve">
1.1. Planeación: Plan de trabajo del equipo
1.2. Investigación: Plantear objetivos, buscar información y realizar experimentos/laboratorios.
1.3. Consulta: contactar otros profesores y buscar soporte técnico.
1.4. Entregable Fase 1
</t>
    </r>
    <r>
      <rPr>
        <b/>
        <sz val="11"/>
        <rFont val="Calibri"/>
        <family val="2"/>
        <scheme val="minor"/>
      </rPr>
      <t xml:space="preserve">
Fase 2:</t>
    </r>
    <r>
      <rPr>
        <sz val="11"/>
        <rFont val="Calibri"/>
        <family val="2"/>
        <scheme val="minor"/>
      </rPr>
      <t xml:space="preserve">
1.1. Diseño y Simulaciones
1.2. Integración - Construcción
1.3. Pruebas
1.4. Entregable Fase 2
</t>
    </r>
    <r>
      <rPr>
        <b/>
        <sz val="11"/>
        <rFont val="Calibri"/>
        <family val="2"/>
        <scheme val="minor"/>
      </rPr>
      <t xml:space="preserve">
Fase 3:</t>
    </r>
    <r>
      <rPr>
        <sz val="11"/>
        <rFont val="Calibri"/>
        <family val="2"/>
        <scheme val="minor"/>
      </rPr>
      <t xml:space="preserve">
1.1. Revisión y correción de fallas o errores
1.2. Presentación 
1.3. Demostración
1.4. Entregable Final: Informe final del Proyecto</t>
    </r>
  </si>
  <si>
    <t xml:space="preserve">Propone soluciones y acciones concretas a la problemática social identificada en el proyecto de responsabilidad social tanto individual como universitaria, articulando los conceptos, saberes disciplinares, la experiencia de vida y el compromiso individual con el cambio.  </t>
  </si>
  <si>
    <t>Construye propuestas centradas en las responsabilidad social tanto indiovidual como universitaria contextualizadas acordes con las necesidades, intereses y expectativas de la comunidad o entidad beneficiaria articulando con claridad tanto los saberes disciplinares como la experiencia de vida.</t>
  </si>
  <si>
    <t>Describe propuestas centradas en las responsabilidad social tanto individual como universitaria que carecen de contexto y relación con las necesidades, intereses o necesidades de la comunidad o entidad beneficiaria aunque si relaciona la articulación con saberes disciplinares.</t>
  </si>
  <si>
    <t>Describe propuestas centradas en las responsabilidad social tanto individual como universitaria descontextualizadas tanto en relación con las necesidades , intereses y expectativas de la comunidad o entidad beneficiaria como con la articulación con los saberes disciplinares.</t>
  </si>
  <si>
    <t xml:space="preserve">Demuestra y argumenta la relación entre su área disciplinar con  los resultados obtenidos en la implementación y  sistematización de la experiencia de intervención y apoyo, con enfoque de responsabilidad social tanto individual como personal. </t>
  </si>
  <si>
    <t xml:space="preserve">Demuestra en la sistematización la reflexión de la experiencia vivida duante el trabajo realizado con la comunidad o entidad beneficiaria,  con el enfoque de la responsabilidad social tanto individual como universitaria,  haciendo enfasis tanto de lo planteado como los logros, aprendizajes y oportunidades de mejora, </t>
  </si>
  <si>
    <t>Describe en la sistematización la reflexión de la experiencia vivida durante el trabajo realizado con la comunidad o entidad beneficiaria, sin relacionar los  conceptos trabajados,  los logros, aprendizajes y oportunidades de mejora.</t>
  </si>
  <si>
    <t>Relata en la sistematización la  experiencia vivida durante el trabajo realizado con la comunidad o entidad beneficiaria dejando de lado la estructura del proceso y la relación con los conceptos trabajados asi como los logros, aprendizajes y oportunidades de mejora.</t>
  </si>
  <si>
    <t xml:space="preserve">RECURSOS DE APOYO </t>
  </si>
  <si>
    <t>Aula virtual
Microsoft 365, incluye Microsoft Office (Word, Excel, PowerPoint, Publisher, Access, Power BI, OneNote, Outlook, Project y Visio), Licencia Universitaria. 
Enginnering plus (gale).
Science infomation (gale).
Computer Science (gale).
E-Collection (ISO) (iCONTEC).
https://elibro-net.biblioteca.unicafam.edu.co/es/lc/unicafam/inicio</t>
  </si>
  <si>
    <t xml:space="preserve">BIBLIOGRAFÍA </t>
  </si>
  <si>
    <t>Alvarez, R., &amp; Grazzi, M. (2018). Innovation and entrepreneurship in Latín America: What do we know? What would we like to know? Estudios de Economía, 45(2), 157-171. Recuperado el 10 de julio de 2021, de http://repositorio.uchile.cl/handle/2250/152706
Arendt, H. (2007). Responsabilidad y juicio. Barcelona: Paidos.
Arnau, L., &amp; Montaner, J. (2010). Aportaciones sobre la relación conceptual entre actitud y competencia, desde la teoria de cambio de actitudes. Electronic journal of research in educational psychology(22), 1283-1302.
ASCUN. (Marzo de 2011). La visión de ASCUN sobre la responsabilidad social universitaria. Pensamiento universitario (21), 5.
Bergoglio, J. (24 de mayo de 2015). Vaticano. Recuperado el 10 de julio de 2021, de https://www.vatican.va/content/francesco/es/encyclicals/documents/papa-francesco_20150524_enciclica-laudato-si.html
Bolívar, R. (2013). Los modos de existencia de la estrategia de semilleros en Colombia como expresiones de la comprensión de la relación entre investigación formativa y la investigación en sentido estricto. Múltiples lecturas, diversas prácticas. El Ágpra USB, 13(2), 433-441.
Cortina, A. (4 de Junio de 2010). Recuperado el 11 de Noviembre de 2017, de http://globalizacionydemocracia.udp.cl/wp-content/uploads/2014/03/ADELA_CORTINA_2010.pdf
Cristancho, M. (2012). Fundación Universitaria Cafam: El legado de Cafam para las nuevas generaciones. Educación en Cafam: experiencias pedagógicas para el desarrollo, 46-49.
De la Calle Maldonado, C. (2014). La asignatura de responsabilidad social en la universidad Francisco de Vitoria. Madrid: Universidad Francisco de Vitoria.
De la Calle, C., García, J., &amp; Gimenez, P. (Mayo de 2007). La asignatura de responsabilidad social en la Universidad Francisco de vitoria. Revista Complutense de Educación, 18(2), 47-66. doi:10.5209/RCED
Díaz, A., Guarnizo, M., &amp; Velásquez, J. (julio de 2017). 15th LACCEI International Multi-Conference for Engineering, Education, and Technology: “Global Partnership for Development and Engineering Education”. doi: 10.18687/LACCEI2017.1.1.468
Díaz, F. (2002). Estrategias docentes para un aprendizaje significativo. México: Mc Graw Hill.
Díaz, J., Peña, I., &amp; Torres, C. (2014). Más allá del arte: Procesos de agencia de niñas y niños de una escuela rural de Bogotá, develados en una etnografía colaborativa. Bogotá: Cinde. Recuperado el 29 de junio de 2020, de https://repository.cinde.org.co/handle/20.500.11907/1573
El país. (20 de Diciembre de 2014). 21 días para cambiar de vida: el método de los 'coach'. Recuperado el 24 de junio de 2020, de https://elpais.com/elpais/2014/12/16/buenavida/1418743679_996306.html
Fundación Universitaria Cafam. (2016). Fundación Universitaria Cafam. Recuperado el 23 de Abril de 2017, de https://youtu.be/hXZtB_d9yL0
Hoyos, G. (Enero de 2009). Educación para un nuevo humanismo. Magis, 1(2), 425-433.
Llano, A. (2006). Bioética y Educación para el siglo XXI. Bogotá: Pontificia Universidad Javeriana. Recuperado el 25 de junio de 2020, de https://books.google.com.co/books?id=Wyx_RrXYxBYC&amp;printsec=frontcover#v=onepage&amp;q&amp;f=true
Martínez, H. (2014). Responsabilidad social y ética empresarial. Bogotá: Ecoe.
Maturana, H. (2001). Emociones y lenguaje en educación política. Madrid: Dolmen. Recuperado el 25 de junio de 2020
Méndez, A. (2019). Show me the money: Pecking order and funding sources for innovative firms in Colombia. Cuadernos de Administración, 32(59). doi:10.11144/Javeriana.cao32-59.stmpo
Naciones Unidas. (1987). Universidad Politecnica de Valencia. Recuperado el 24 de junio de 2020, de http://www.upv.es/contenidos/CAMUNISO/info/U0506189
Naciones Unidas. (2012). Naciones Unidas. Recuperado el 24 de junio de 2020, de https://www.youtube.com/watch?v=3cQgONgTupo
Naciones Unidas. (2015). ONU. Recuperado el 18 de junio de 2019, de https://www.undp.org/content/undp/es/home/sustainable-development-goals.html
Navarro, G. (Mayo de 2006). Universidad de concepción. Recuperado el 25 de Mayo de 2015, de http://rsuniversitaria.org/web/images/stories/memoria/UCP%202006.pdf
Navarro, G., Boero, P., Jiménez, G., Tapia, L., Hollander, R., Escobar, A., . . . Espina, Á. (2012). Valores y actitudes socialmente responsables en universitarios chilenos. Calidad en la educación(36), 123-147.
Oyuela, M. (2006). Bioética una propuesta para educar en valores. En A. Llano, Bioética y educación para el siglo XXI (págs. 12-46). Bogotá: Pontificia Universidad Javeriana. Recuperado el 29 de junio de 2020, de https://books.google.com.co/books?id=Wyx_RrXYxBYC&amp;pg=PA10&amp;lpg=PA10&amp;dq=oyuela+en+bioetica+y+educacion+para+el+siglo+XXI&amp;source=bl&amp;ots=KFyGyMrW8U&amp;sig=ACfU3U02x8imW_Hu8gQ2EOG1sOWp9KQxog&amp;hl=es&amp;sa=X&amp;ved=2ahUKEwi78sLFlajqAhUFhuAKHeopAdwQ6AEwAHoECAoQAQ#v=onepage
Ramírez, M., Navas, L., Delgado, A., González, M., Caicedo, L., &amp; Peralta, M. (2019). Promoting Entrepreneurship through a Community Learning Model – Case Study: Green Businesses. Systemic Practice and Action Research, 629-643. doi:10.1007/s11213-019-9477-z
Remolina, N., &amp; Rivera, Y. (2006). Bioética y educación para el siglo XXI. En A. Llano, Bioética y educación para el siglo XXI. Bogotá: Pontificia Universidad Javeriana. Recuperado el 29 de junio de 2020
Rivero, C., Bernal, P., Santana, Y., &amp; Pedraza, Y. (2014). LA ENSEÑANZA DE ESTRATEGIAS DE APRENDIZAJE, UNA PERSPECTIVA PEDAGÓGICA PARA LAS TRANSFORMACIONES EN LA EDUCACIÓN SUPERIOR EN CUBA. Pedagogia Universitaria, 19(2), 16-37.
Savater, F. (2014). Etica para la empresa. Bogotá: Conecta.
Talavera, M. (20 de Diciembre de 2014). El país. Recuperado el 10 de julio de 2021, de https://elpais.com/elpais/2014/12/16/buenavida/1418743679_996306.html
Tamayo, Á., &amp; Porto, J. (2005). Valores e com-portamento nas organizações. VOZES.
Tovar, E., Mosquera, R., &amp; Andrade, J. (2019). Entrepreneurship as a Tool for Productive Inclusion: Analysis of the Case of Colombia. TEM Journal, 8(1), 195-200. doi:10.18421/TEM81-27
Unesco. (1998). Unesco. Recuperado el 24 de junio de 2020, de https://unesdoc.unesco.org/ark:/48223/pf0000116345_spa
Unesco. (31 de Marzo de 2009). Unesco. Recuperado el 15 de Junio de 2011, de http://www.esd-world-conference-2009.org/fileadmin/download/ESD2009_BonnDeclarationESP.pdf
Vallaeys, F., De la Cruz, C., &amp; Sasia, P. (2009). Responsabilidad social universitaria Manual de primeros pasos. Mexico: Mc Graw Hill.
Varela, R., Moreno, J., Soler, J., Pereira, F., Osorio, F., &amp; Gómez, E. (2020). Dinámica de la actividad empresarial en Colombia: GEM. Cali: Universidad Icesi. Recuperado el 10 de julio de 2021, de https://www.icesi.edu.co/editorial/actividad-empresarial/
Velandia, C., Francisca, S., &amp; Martínez, M. (2017). Formative research in ubiquitous and virtual environments in higher education. Comunicar, 25(51), 9-18.</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</si>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</sst>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z val="11"/>
      <color rgb="FF000000"/>
      <name val="Calibri"/>
      <family val="2"/>
    </font>
    <font>
      <sz val="11"/>
      <color rgb="FF000000"/>
      <name val="Verdana"/>
      <family val="2"/>
    </font>
    <font>
      <b/>
      <sz val="11"/>
      <color rgb="FFFFFFFF"/>
      <name val="Verdana"/>
      <family val="2"/>
    </font>
    <font>
      <b/>
      <sz val="11"/>
      <color rgb="FF000000"/>
      <name val="Verdana"/>
      <family val="2"/>
    </font>
    <font>
      <b/>
      <sz val="11"/>
      <color theme="0"/>
      <name val="Verdana"/>
      <family val="2"/>
    </font>
    <font>
      <sz val="11"/>
      <color theme="1"/>
      <name val="Verdana"/>
      <family val="2"/>
    </font>
  </fonts>
  <fills count="8">
    <fill>
      <patternFill patternType="none"/>
    </fill>
    <fill>
      <patternFill patternType="gray125"/>
    </fill>
    <fill>
      <patternFill patternType="solid">
        <fgColor theme="8" tint="0.59996337778862885"/>
        <bgColor indexed="64"/>
      </patternFill>
    </fill>
    <fill>
      <patternFill patternType="solid">
        <fgColor theme="0"/>
        <bgColor indexed="64"/>
      </patternFill>
    </fill>
    <fill>
      <patternFill patternType="solid">
        <fgColor theme="8" tint="-0.499984740745262"/>
        <bgColor rgb="FF000000"/>
      </patternFill>
    </fill>
    <fill>
      <patternFill patternType="solid">
        <fgColor theme="8" tint="-0.499984740745262"/>
        <bgColor indexed="64"/>
      </patternFill>
    </fill>
    <fill>
      <patternFill patternType="solid">
        <fgColor theme="0" tint="-0.249977111117893"/>
        <bgColor indexed="64"/>
      </patternFill>
    </fill>
    <fill>
      <patternFill patternType="solid">
        <fgColor rgb="FFFFFFFF"/>
        <bgColor rgb="FF000000"/>
      </patternFill>
    </fill>
  </fills>
  <borders count="31">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auto="1"/>
      </left>
      <right style="medium">
        <color indexed="64"/>
      </right>
      <top/>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diagonal/>
    </border>
    <border>
      <left style="thin">
        <color indexed="64"/>
      </left>
      <right style="medium">
        <color indexed="64"/>
      </right>
      <top style="medium">
        <color indexed="64"/>
      </top>
      <bottom/>
      <diagonal/>
    </border>
    <border>
      <left style="thin">
        <color auto="1"/>
      </left>
      <right/>
      <top style="medium">
        <color indexed="64"/>
      </top>
      <bottom/>
      <diagonal/>
    </border>
    <border>
      <left/>
      <right style="thin">
        <color auto="1"/>
      </right>
      <top style="medium">
        <color indexed="64"/>
      </top>
      <bottom/>
      <diagonal/>
    </border>
    <border>
      <left style="thin">
        <color auto="1"/>
      </left>
      <right/>
      <top/>
      <bottom style="medium">
        <color indexed="64"/>
      </bottom>
      <diagonal/>
    </border>
    <border>
      <left/>
      <right style="thin">
        <color auto="1"/>
      </right>
      <top/>
      <bottom style="medium">
        <color indexed="64"/>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medium">
        <color indexed="64"/>
      </right>
      <top/>
      <bottom style="medium">
        <color indexed="64"/>
      </bottom>
      <diagonal/>
    </border>
    <border>
      <left style="thin">
        <color auto="1"/>
      </left>
      <right/>
      <top/>
      <bottom style="thin">
        <color auto="1"/>
      </bottom>
      <diagonal/>
    </border>
    <border>
      <left/>
      <right/>
      <top/>
      <bottom style="thin">
        <color indexed="64"/>
      </bottom>
      <diagonal/>
    </border>
  </borders>
  <cellStyleXfs count="3">
    <xf numFmtId="0" fontId="0" fillId="0" borderId="0"/>
    <xf numFmtId="0" fontId="1" fillId="0" borderId="0"/>
    <xf numFmtId="0" fontId="1" fillId="0" borderId="0"/>
  </cellStyleXfs>
  <cellXfs count="102">
    <xf numFmtId="0" fontId="0" fillId="0" borderId="0" xfId="0"/>
    <xf numFmtId="0" fontId="1" fillId="0" borderId="0" xfId="1" applyAlignment="1">
      <alignment vertical="center"/>
    </xf>
    <xf numFmtId="0" fontId="6" fillId="2" borderId="1" xfId="1" applyFont="1" applyFill="1" applyBorder="1" applyAlignment="1">
      <alignment horizontal="left" vertical="center" wrapText="1"/>
    </xf>
    <xf numFmtId="0" fontId="8" fillId="2" borderId="2" xfId="1" applyFont="1" applyFill="1" applyBorder="1" applyAlignment="1">
      <alignment horizontal="center" vertical="center" wrapText="1"/>
    </xf>
    <xf numFmtId="0" fontId="7" fillId="0" borderId="2" xfId="1" applyFont="1" applyBorder="1" applyAlignment="1">
      <alignment horizontal="center" vertical="center" wrapText="1"/>
    </xf>
    <xf numFmtId="0" fontId="8" fillId="2" borderId="2" xfId="1" applyFont="1" applyFill="1" applyBorder="1" applyAlignment="1">
      <alignment horizontal="left" vertical="center" wrapText="1"/>
    </xf>
    <xf numFmtId="0" fontId="5" fillId="0" borderId="5" xfId="2" applyFont="1" applyBorder="1" applyAlignment="1">
      <alignment horizontal="center" vertical="center" wrapText="1"/>
    </xf>
    <xf numFmtId="0" fontId="6" fillId="2" borderId="6" xfId="1" applyFont="1" applyFill="1" applyBorder="1" applyAlignment="1">
      <alignment horizontal="left" vertical="center" wrapText="1"/>
    </xf>
    <xf numFmtId="0" fontId="8" fillId="2" borderId="10" xfId="1" applyFont="1" applyFill="1" applyBorder="1" applyAlignment="1">
      <alignment horizontal="center" vertical="center" wrapText="1"/>
    </xf>
    <xf numFmtId="0" fontId="7" fillId="3" borderId="11" xfId="2" applyFont="1" applyFill="1" applyBorder="1" applyAlignment="1">
      <alignment horizontal="center" vertical="center" wrapText="1"/>
    </xf>
    <xf numFmtId="0" fontId="6" fillId="2" borderId="12" xfId="1" applyFont="1" applyFill="1" applyBorder="1" applyAlignment="1">
      <alignment horizontal="left" vertical="center" wrapText="1"/>
    </xf>
    <xf numFmtId="0" fontId="6" fillId="2" borderId="15" xfId="1" applyFont="1" applyFill="1" applyBorder="1" applyAlignment="1">
      <alignment horizontal="left" vertical="center" wrapText="1"/>
    </xf>
    <xf numFmtId="0" fontId="6" fillId="2" borderId="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7" fillId="0" borderId="25" xfId="2" applyFont="1" applyBorder="1" applyAlignment="1">
      <alignment horizontal="left" vertical="top" wrapText="1"/>
    </xf>
    <xf numFmtId="0" fontId="5" fillId="0" borderId="25" xfId="2" applyFont="1" applyBorder="1" applyAlignment="1">
      <alignment horizontal="left" vertical="top" wrapText="1"/>
    </xf>
    <xf numFmtId="0" fontId="5" fillId="0" borderId="10" xfId="2" applyFont="1" applyBorder="1" applyAlignment="1">
      <alignment horizontal="left" vertical="top" wrapText="1"/>
    </xf>
    <xf numFmtId="0" fontId="7" fillId="0" borderId="10" xfId="2" applyFont="1" applyBorder="1" applyAlignment="1">
      <alignment horizontal="left" vertical="top" wrapText="1"/>
    </xf>
    <xf numFmtId="0" fontId="7" fillId="0" borderId="13" xfId="2" applyFont="1" applyBorder="1" applyAlignment="1">
      <alignment horizontal="left" vertical="top" wrapText="1"/>
    </xf>
    <xf numFmtId="0" fontId="3" fillId="0" borderId="0" xfId="1" applyFont="1" applyAlignment="1">
      <alignment vertical="center" wrapText="1"/>
    </xf>
    <xf numFmtId="0" fontId="10" fillId="0" borderId="10" xfId="0" applyFont="1" applyBorder="1" applyAlignment="1">
      <alignment horizontal="center" vertical="center" wrapText="1"/>
    </xf>
    <xf numFmtId="0" fontId="11" fillId="4" borderId="10" xfId="0" applyFont="1" applyFill="1" applyBorder="1" applyAlignment="1">
      <alignment horizontal="center" vertical="center" wrapText="1"/>
    </xf>
    <xf numFmtId="0" fontId="13" fillId="5" borderId="10" xfId="0" applyFont="1" applyFill="1" applyBorder="1" applyAlignment="1" applyProtection="1">
      <alignment horizontal="center" vertical="center" wrapText="1"/>
      <protection hidden="1"/>
    </xf>
    <xf numFmtId="0" fontId="14" fillId="0" borderId="10" xfId="0" applyFont="1" applyBorder="1" applyAlignment="1" applyProtection="1">
      <alignment horizontal="center" vertical="center" wrapText="1"/>
      <protection hidden="1"/>
    </xf>
    <xf numFmtId="0" fontId="0" fillId="3" borderId="10" xfId="0" applyFill="1" applyBorder="1"/>
    <xf numFmtId="0" fontId="14" fillId="6" borderId="0" xfId="0" applyFont="1" applyFill="1" applyAlignment="1">
      <alignment horizontal="center" vertical="center"/>
    </xf>
    <xf numFmtId="0" fontId="0" fillId="6" borderId="0" xfId="0" applyFill="1"/>
    <xf numFmtId="0" fontId="5" fillId="0" borderId="0" xfId="1" applyFont="1" applyAlignment="1">
      <alignment horizontal="center" vertical="center" wrapText="1"/>
    </xf>
    <xf numFmtId="0" fontId="9" fillId="0" borderId="2" xfId="1" applyFont="1" applyBorder="1" applyAlignment="1">
      <alignment horizontal="left" vertical="center" wrapText="1"/>
    </xf>
    <xf numFmtId="0" fontId="7" fillId="0" borderId="2" xfId="1" applyFont="1" applyBorder="1" applyAlignment="1">
      <alignment horizontal="left" vertical="center" wrapText="1"/>
    </xf>
    <xf numFmtId="0" fontId="7" fillId="0" borderId="5" xfId="1" applyFont="1" applyBorder="1" applyAlignment="1">
      <alignment horizontal="left" vertical="center" wrapText="1"/>
    </xf>
    <xf numFmtId="0" fontId="9" fillId="0" borderId="13" xfId="1" applyFont="1" applyBorder="1" applyAlignment="1">
      <alignment horizontal="left" vertical="top" wrapText="1"/>
    </xf>
    <xf numFmtId="0" fontId="7" fillId="0" borderId="13" xfId="1" applyFont="1" applyBorder="1" applyAlignment="1">
      <alignment horizontal="left" vertical="top" wrapText="1"/>
    </xf>
    <xf numFmtId="0" fontId="7" fillId="0" borderId="14" xfId="1" applyFont="1" applyBorder="1" applyAlignment="1">
      <alignment horizontal="left" vertical="top" wrapText="1"/>
    </xf>
    <xf numFmtId="0" fontId="6" fillId="2" borderId="21" xfId="1" applyFont="1" applyFill="1" applyBorder="1" applyAlignment="1">
      <alignment horizontal="center" vertical="center" wrapText="1"/>
    </xf>
    <xf numFmtId="0" fontId="6" fillId="2" borderId="22" xfId="1" applyFont="1" applyFill="1" applyBorder="1" applyAlignment="1">
      <alignment horizontal="center" vertical="center" wrapText="1"/>
    </xf>
    <xf numFmtId="0" fontId="6" fillId="2" borderId="23" xfId="1" applyFont="1" applyFill="1" applyBorder="1" applyAlignment="1">
      <alignment horizontal="center" vertical="center" wrapText="1"/>
    </xf>
    <xf numFmtId="0" fontId="6" fillId="2" borderId="2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14" xfId="1" applyFont="1" applyFill="1" applyBorder="1" applyAlignment="1">
      <alignment horizontal="center" vertical="center" wrapText="1"/>
    </xf>
    <xf numFmtId="0" fontId="7" fillId="0" borderId="17" xfId="0" applyFont="1" applyBorder="1" applyAlignment="1">
      <alignment horizontal="left" vertical="top" wrapText="1"/>
    </xf>
    <xf numFmtId="0" fontId="7" fillId="0" borderId="28" xfId="0" applyFont="1" applyBorder="1" applyAlignment="1">
      <alignment horizontal="left" vertical="top" wrapText="1"/>
    </xf>
    <xf numFmtId="0" fontId="1" fillId="0" borderId="1" xfId="1" applyBorder="1" applyAlignment="1">
      <alignment horizontal="left" vertical="center" wrapText="1"/>
    </xf>
    <xf numFmtId="0" fontId="1" fillId="0" borderId="6" xfId="1" applyBorder="1" applyAlignment="1">
      <alignment horizontal="left" vertical="center" wrapText="1"/>
    </xf>
    <xf numFmtId="0" fontId="8" fillId="0" borderId="21" xfId="0" applyFont="1" applyBorder="1" applyAlignment="1">
      <alignment horizontal="left" vertical="center" wrapText="1"/>
    </xf>
    <xf numFmtId="0" fontId="8" fillId="0" borderId="22" xfId="0" applyFont="1" applyBorder="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23" xfId="0" applyFont="1" applyBorder="1" applyAlignment="1">
      <alignment horizontal="left" vertical="center" wrapText="1"/>
    </xf>
    <xf numFmtId="0" fontId="8" fillId="0" borderId="24" xfId="0" applyFont="1" applyBorder="1" applyAlignment="1">
      <alignment horizontal="left" vertical="center" wrapText="1"/>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23" xfId="0" applyFont="1" applyBorder="1" applyAlignment="1">
      <alignment horizontal="left" vertical="top" wrapText="1"/>
    </xf>
    <xf numFmtId="0" fontId="7" fillId="0" borderId="24" xfId="0" applyFont="1" applyBorder="1" applyAlignment="1">
      <alignment horizontal="left" vertical="top" wrapText="1"/>
    </xf>
    <xf numFmtId="0" fontId="1" fillId="0" borderId="2" xfId="1" applyBorder="1" applyAlignment="1">
      <alignment horizontal="left" vertical="center" wrapText="1"/>
    </xf>
    <xf numFmtId="0" fontId="1" fillId="0" borderId="10" xfId="1" applyBorder="1" applyAlignment="1">
      <alignment horizontal="left" vertical="center" wrapText="1"/>
    </xf>
    <xf numFmtId="0" fontId="1" fillId="0" borderId="12" xfId="1" applyBorder="1" applyAlignment="1">
      <alignment horizontal="left" vertical="center" wrapText="1"/>
    </xf>
    <xf numFmtId="0" fontId="1" fillId="0" borderId="13" xfId="1" applyBorder="1" applyAlignment="1">
      <alignment horizontal="left" vertical="center" wrapText="1"/>
    </xf>
    <xf numFmtId="0" fontId="1" fillId="0" borderId="2" xfId="1" applyBorder="1" applyAlignment="1">
      <alignment horizontal="left" vertical="top" wrapText="1"/>
    </xf>
    <xf numFmtId="0" fontId="1" fillId="0" borderId="10" xfId="1" applyBorder="1" applyAlignment="1">
      <alignment horizontal="left" vertical="top" wrapText="1"/>
    </xf>
    <xf numFmtId="0" fontId="1" fillId="0" borderId="13" xfId="1" applyBorder="1" applyAlignment="1">
      <alignment horizontal="left" vertical="top" wrapText="1"/>
    </xf>
    <xf numFmtId="0" fontId="1" fillId="0" borderId="5" xfId="1" applyBorder="1" applyAlignment="1">
      <alignment horizontal="left" vertical="top" wrapText="1"/>
    </xf>
    <xf numFmtId="0" fontId="1" fillId="0" borderId="11" xfId="1" applyBorder="1" applyAlignment="1">
      <alignment horizontal="left" vertical="top" wrapText="1"/>
    </xf>
    <xf numFmtId="0" fontId="1" fillId="0" borderId="14" xfId="1" applyBorder="1" applyAlignment="1">
      <alignment horizontal="left" vertical="top" wrapText="1"/>
    </xf>
    <xf numFmtId="0" fontId="6" fillId="2" borderId="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2" fillId="2" borderId="21" xfId="1" applyFont="1" applyFill="1" applyBorder="1" applyAlignment="1">
      <alignment horizontal="center" vertical="center" wrapText="1"/>
    </xf>
    <xf numFmtId="0" fontId="2" fillId="2" borderId="22" xfId="1" applyFont="1" applyFill="1" applyBorder="1" applyAlignment="1">
      <alignment horizontal="center" vertical="center" wrapText="1"/>
    </xf>
    <xf numFmtId="0" fontId="2" fillId="2" borderId="23"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7" fillId="0" borderId="13" xfId="1" applyFont="1" applyBorder="1" applyAlignment="1">
      <alignment horizontal="center" vertical="center" wrapText="1"/>
    </xf>
    <xf numFmtId="0" fontId="7" fillId="0" borderId="14" xfId="1" applyFont="1" applyBorder="1" applyAlignment="1">
      <alignment horizontal="center" vertical="center" wrapText="1"/>
    </xf>
    <xf numFmtId="0" fontId="7" fillId="0" borderId="16" xfId="1" applyFont="1" applyBorder="1" applyAlignment="1">
      <alignment horizontal="left" vertical="top" wrapText="1"/>
    </xf>
    <xf numFmtId="0" fontId="7" fillId="0" borderId="17" xfId="1" applyFont="1" applyBorder="1" applyAlignment="1">
      <alignment horizontal="left" vertical="top" wrapText="1"/>
    </xf>
    <xf numFmtId="0" fontId="6" fillId="2" borderId="18" xfId="1" applyFont="1" applyFill="1" applyBorder="1" applyAlignment="1">
      <alignment horizontal="center" vertical="center" wrapText="1"/>
    </xf>
    <xf numFmtId="0" fontId="6" fillId="2" borderId="19"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9" xfId="1" applyFont="1" applyBorder="1" applyAlignment="1">
      <alignment horizontal="center" vertical="center" wrapText="1"/>
    </xf>
    <xf numFmtId="0" fontId="7" fillId="0" borderId="10" xfId="1" applyFont="1" applyBorder="1" applyAlignment="1" applyProtection="1">
      <alignment horizontal="center" vertical="center"/>
      <protection locked="0"/>
    </xf>
    <xf numFmtId="0" fontId="10" fillId="0" borderId="10" xfId="0" applyFont="1" applyBorder="1" applyAlignment="1">
      <alignment horizontal="center" vertical="center" wrapText="1"/>
    </xf>
    <xf numFmtId="0" fontId="11" fillId="4" borderId="10" xfId="0" applyFont="1" applyFill="1" applyBorder="1" applyAlignment="1">
      <alignment horizontal="center" vertical="center" wrapText="1"/>
    </xf>
    <xf numFmtId="0" fontId="12" fillId="0" borderId="10" xfId="0" applyFont="1" applyBorder="1" applyAlignment="1">
      <alignment horizontal="center" vertical="center" wrapText="1"/>
    </xf>
    <xf numFmtId="0" fontId="0" fillId="3" borderId="10" xfId="0" applyFill="1" applyBorder="1" applyAlignment="1">
      <alignment horizont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13" fillId="5" borderId="29" xfId="0" applyFont="1" applyFill="1" applyBorder="1" applyAlignment="1" applyProtection="1">
      <alignment horizontal="center" vertical="center" wrapText="1"/>
      <protection hidden="1"/>
    </xf>
    <xf numFmtId="0" fontId="13" fillId="5" borderId="30" xfId="0" applyFont="1" applyFill="1" applyBorder="1" applyAlignment="1" applyProtection="1">
      <alignment horizontal="center" vertical="center" wrapText="1"/>
      <protection hidden="1"/>
    </xf>
    <xf numFmtId="0" fontId="13" fillId="5" borderId="10" xfId="0" applyFont="1" applyFill="1" applyBorder="1" applyAlignment="1" applyProtection="1">
      <alignment horizontal="center" vertical="center" wrapText="1"/>
      <protection hidden="1"/>
    </xf>
    <xf numFmtId="0" fontId="14" fillId="0" borderId="10" xfId="0" applyFont="1" applyBorder="1" applyAlignment="1" applyProtection="1">
      <alignment horizontal="center" vertical="center" wrapText="1"/>
      <protection hidden="1"/>
    </xf>
    <xf numFmtId="0" fontId="14" fillId="3" borderId="10" xfId="0" applyFont="1" applyFill="1" applyBorder="1" applyAlignment="1" applyProtection="1">
      <alignment horizontal="center" vertical="center" wrapText="1"/>
      <protection hidden="1"/>
    </xf>
    <xf numFmtId="0" fontId="10" fillId="7" borderId="7" xfId="0" applyFont="1" applyFill="1" applyBorder="1" applyAlignment="1">
      <alignment horizontal="center" wrapText="1"/>
    </xf>
    <xf numFmtId="0" fontId="10" fillId="7" borderId="8" xfId="0" applyFont="1" applyFill="1" applyBorder="1" applyAlignment="1">
      <alignment horizontal="center" wrapText="1"/>
    </xf>
    <xf numFmtId="0" fontId="10" fillId="7" borderId="9" xfId="0" applyFont="1" applyFill="1" applyBorder="1" applyAlignment="1">
      <alignment horizontal="center" wrapText="1"/>
    </xf>
  </cellXfs>
  <cellStyles count="3">
    <cellStyle name="Normal" xfId="0" builtinId="0"/>
    <cellStyle name="Normal 13" xfId="2" xr:uid="{30B312BE-3235-4942-8948-9909479DB489}"/>
    <cellStyle name="Normal 2 4" xfId="1" xr:uid="{8B5486E3-9431-4261-88E8-F45BA6FA85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22/10/relationships/richValueRel" Target="richData/richValueRel.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externalLink" Target="externalLinks/externalLink1.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3</xdr:col>
      <xdr:colOff>28575</xdr:colOff>
      <xdr:row>7</xdr:row>
      <xdr:rowOff>19050</xdr:rowOff>
    </xdr:from>
    <xdr:to>
      <xdr:col>3</xdr:col>
      <xdr:colOff>419100</xdr:colOff>
      <xdr:row>7</xdr:row>
      <xdr:rowOff>352425</xdr:rowOff>
    </xdr:to>
    <xdr:sp macro="" textlink="">
      <xdr:nvSpPr>
        <xdr:cNvPr id="2" name="Estrella: 5 puntas 1">
          <a:extLst>
            <a:ext uri="{FF2B5EF4-FFF2-40B4-BE49-F238E27FC236}">
              <a16:creationId xmlns:a16="http://schemas.microsoft.com/office/drawing/2014/main" id="{9C1FAFCB-91BA-CD4F-6C35-DBA1AC056059}"/>
            </a:ext>
          </a:extLst>
        </xdr:cNvPr>
        <xdr:cNvSpPr/>
      </xdr:nvSpPr>
      <xdr:spPr>
        <a:xfrm>
          <a:off x="3705225" y="1885950"/>
          <a:ext cx="390525" cy="3333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personal/stefany_murillo_unicafam_edu_co/Documents/Renovaci&#243;n%20de%20RC%20de%20programas%20de%20ingenier&#237;a/Renovaci&#243;n%20registros/Ingenier&#237;a%20de%20Telecomunicaciones/UNIDADES%20DE%20APRENDIZAJE/PROGRAMACI&#211;N/Formato%20UA%20Programa%20de%20Ingenieri&#769;a%20de%20Telecomunicaciones.xlsx?C23EED28" TargetMode="External"/><Relationship Id="rId1" Type="http://schemas.openxmlformats.org/officeDocument/2006/relationships/externalLinkPath" Target="file:///\\C23EED28\Formato%20UA%20Programa%20de%20Ingenieri&#769;a%20de%20Telecomunicacione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jose_salas_unicafam_edu_co/Documents/Santiago%20Nuevo%20210622/1%20Primer%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Introducción a la ingeniería"/>
      <sheetName val="41 Representación_gráfica "/>
      <sheetName val="Representación grafica "/>
      <sheetName val="Seguridad industrial"/>
      <sheetName val="1. Seguridad industrial"/>
      <sheetName val="Contabilidad administrativa"/>
    </sheetNames>
    <sheetDataSet>
      <sheetData sheetId="0"/>
      <sheetData sheetId="1"/>
      <sheetData sheetId="2"/>
      <sheetData sheetId="3"/>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E6B50-1BBC-4199-A4C5-6C30B4276796}">
  <sheetPr codeName="Hoja8">
    <tabColor rgb="FF00B0F0"/>
  </sheetPr>
  <dimension ref="B1:P39"/>
  <sheetViews>
    <sheetView tabSelected="1" workbookViewId="0">
      <selection activeCell="C23" sqref="C23"/>
    </sheetView>
  </sheetViews>
  <sheetFormatPr defaultColWidth="12.85546875" defaultRowHeight="15"/>
  <cols>
    <col min="1" max="1" width="5.7109375" style="1" customWidth="1"/>
    <col min="2" max="2" width="31.85546875" style="1" customWidth="1"/>
    <col min="3" max="6" width="24.7109375" style="1" customWidth="1"/>
    <col min="7" max="14" width="12.7109375" style="1" customWidth="1"/>
    <col min="15" max="15" width="24.7109375" style="1" customWidth="1"/>
    <col min="16" max="16" width="6.42578125" style="1" customWidth="1"/>
    <col min="17" max="16384" width="12.85546875" style="1"/>
  </cols>
  <sheetData>
    <row r="1" spans="2:15" s="20" customFormat="1" ht="15" customHeight="1"/>
    <row r="2" spans="2:15" s="20" customFormat="1" ht="25.5" customHeight="1">
      <c r="B2" s="86" t="e" vm="1">
        <v>#VALUE!</v>
      </c>
      <c r="C2" s="87" t="s">
        <v>0</v>
      </c>
      <c r="D2" s="87"/>
      <c r="E2" s="87"/>
      <c r="F2" s="87"/>
      <c r="G2" s="87"/>
      <c r="H2" s="87"/>
      <c r="I2" s="87"/>
      <c r="J2" s="87"/>
      <c r="K2" s="87"/>
      <c r="L2" s="87"/>
      <c r="M2" s="87"/>
      <c r="N2" s="87"/>
      <c r="O2" s="87"/>
    </row>
    <row r="3" spans="2:15" s="20" customFormat="1" ht="24" customHeight="1">
      <c r="B3" s="86"/>
      <c r="C3" s="88" t="s">
        <v>1</v>
      </c>
      <c r="D3" s="88"/>
      <c r="E3" s="88"/>
      <c r="F3" s="88"/>
      <c r="G3" s="88"/>
      <c r="H3" s="88"/>
      <c r="I3" s="88"/>
      <c r="J3" s="88"/>
      <c r="K3" s="88"/>
      <c r="L3" s="88"/>
      <c r="M3" s="88"/>
      <c r="N3" s="88"/>
      <c r="O3" s="88"/>
    </row>
    <row r="4" spans="2:15" s="20" customFormat="1" ht="24" customHeight="1">
      <c r="B4" s="86"/>
      <c r="C4" s="88"/>
      <c r="D4" s="88"/>
      <c r="E4" s="88"/>
      <c r="F4" s="88"/>
      <c r="G4" s="88"/>
      <c r="H4" s="88"/>
      <c r="I4" s="88"/>
      <c r="J4" s="88"/>
      <c r="K4" s="88"/>
      <c r="L4" s="88"/>
      <c r="M4" s="88"/>
      <c r="N4" s="88"/>
      <c r="O4" s="88"/>
    </row>
    <row r="5" spans="2:15" s="20" customFormat="1" ht="20.100000000000001" customHeight="1">
      <c r="B5" s="22" t="s">
        <v>2</v>
      </c>
      <c r="C5" s="21" t="s">
        <v>3</v>
      </c>
      <c r="D5" s="87" t="s">
        <v>4</v>
      </c>
      <c r="E5" s="87"/>
      <c r="F5" s="87"/>
      <c r="G5" s="21">
        <v>1</v>
      </c>
      <c r="H5" s="87" t="s">
        <v>5</v>
      </c>
      <c r="I5" s="87"/>
      <c r="J5" s="87"/>
      <c r="K5" s="89"/>
      <c r="L5" s="89"/>
      <c r="M5" s="87" t="s">
        <v>6</v>
      </c>
      <c r="N5" s="87"/>
      <c r="O5" s="21" t="s">
        <v>7</v>
      </c>
    </row>
    <row r="6" spans="2:15" s="20" customFormat="1" ht="20.100000000000001" customHeight="1">
      <c r="B6" s="90"/>
      <c r="C6" s="90"/>
      <c r="D6" s="90"/>
      <c r="E6" s="90"/>
      <c r="F6" s="90"/>
      <c r="G6" s="90"/>
      <c r="H6" s="90"/>
      <c r="I6" s="90"/>
      <c r="J6" s="90"/>
      <c r="K6" s="90"/>
      <c r="L6" s="90"/>
      <c r="M6" s="90"/>
      <c r="N6" s="90"/>
      <c r="O6" s="90"/>
    </row>
    <row r="7" spans="2:15" s="20" customFormat="1" ht="20.100000000000001" customHeight="1" thickBot="1">
      <c r="B7" s="91" t="s">
        <v>8</v>
      </c>
      <c r="C7" s="91"/>
      <c r="D7" s="91"/>
      <c r="E7" s="91"/>
      <c r="F7" s="91"/>
      <c r="G7" s="91"/>
      <c r="H7" s="91"/>
      <c r="I7" s="91"/>
      <c r="J7" s="91"/>
      <c r="K7" s="91"/>
      <c r="L7" s="91"/>
      <c r="M7" s="91"/>
      <c r="N7" s="91"/>
      <c r="O7" s="91"/>
    </row>
    <row r="8" spans="2:15" ht="30">
      <c r="B8" s="2" t="s">
        <v>9</v>
      </c>
      <c r="C8" s="30" t="s">
        <v>10</v>
      </c>
      <c r="D8" s="30"/>
      <c r="E8" s="30"/>
      <c r="F8" s="30"/>
      <c r="G8" s="3" t="s">
        <v>11</v>
      </c>
      <c r="H8" s="92">
        <v>2</v>
      </c>
      <c r="I8" s="93"/>
      <c r="J8" s="3" t="s">
        <v>12</v>
      </c>
      <c r="K8" s="4">
        <f>H8*16</f>
        <v>32</v>
      </c>
      <c r="L8" s="3" t="s">
        <v>13</v>
      </c>
      <c r="M8" s="4">
        <f>K8*2</f>
        <v>64</v>
      </c>
      <c r="N8" s="5" t="s">
        <v>14</v>
      </c>
      <c r="O8" s="6" t="s">
        <v>15</v>
      </c>
    </row>
    <row r="9" spans="2:15" ht="15" customHeight="1">
      <c r="B9" s="7" t="s">
        <v>16</v>
      </c>
      <c r="C9" s="82" t="s">
        <v>17</v>
      </c>
      <c r="D9" s="83"/>
      <c r="E9" s="83"/>
      <c r="F9" s="83"/>
      <c r="G9" s="83"/>
      <c r="H9" s="83"/>
      <c r="I9" s="84"/>
      <c r="J9" s="8" t="s">
        <v>18</v>
      </c>
      <c r="K9" s="85" t="s">
        <v>19</v>
      </c>
      <c r="L9" s="85"/>
      <c r="M9" s="85"/>
      <c r="N9" s="8" t="s">
        <v>20</v>
      </c>
      <c r="O9" s="9">
        <v>14029060101</v>
      </c>
    </row>
    <row r="10" spans="2:15" ht="15.75" thickBot="1">
      <c r="B10" s="10" t="s">
        <v>21</v>
      </c>
      <c r="C10" s="75" t="s">
        <v>22</v>
      </c>
      <c r="D10" s="75"/>
      <c r="E10" s="75"/>
      <c r="F10" s="75"/>
      <c r="G10" s="75"/>
      <c r="H10" s="75"/>
      <c r="I10" s="75"/>
      <c r="J10" s="75"/>
      <c r="K10" s="75"/>
      <c r="L10" s="75"/>
      <c r="M10" s="75"/>
      <c r="N10" s="75"/>
      <c r="O10" s="76"/>
    </row>
    <row r="11" spans="2:15" ht="95.25" customHeight="1" thickBot="1">
      <c r="B11" s="11" t="s">
        <v>23</v>
      </c>
      <c r="C11" s="77" t="s">
        <v>24</v>
      </c>
      <c r="D11" s="77"/>
      <c r="E11" s="77"/>
      <c r="F11" s="77"/>
      <c r="G11" s="77"/>
      <c r="H11" s="77"/>
      <c r="I11" s="77"/>
      <c r="J11" s="77"/>
      <c r="K11" s="77"/>
      <c r="L11" s="77"/>
      <c r="M11" s="77"/>
      <c r="N11" s="77"/>
      <c r="O11" s="78"/>
    </row>
    <row r="12" spans="2:15" ht="36" customHeight="1" thickBot="1">
      <c r="B12" s="79" t="s">
        <v>25</v>
      </c>
      <c r="C12" s="80"/>
      <c r="D12" s="80" t="s">
        <v>26</v>
      </c>
      <c r="E12" s="80"/>
      <c r="F12" s="80"/>
      <c r="G12" s="80"/>
      <c r="H12" s="80" t="s">
        <v>27</v>
      </c>
      <c r="I12" s="80"/>
      <c r="J12" s="80"/>
      <c r="K12" s="80" t="s">
        <v>28</v>
      </c>
      <c r="L12" s="80"/>
      <c r="M12" s="80"/>
      <c r="N12" s="80" t="s">
        <v>29</v>
      </c>
      <c r="O12" s="81"/>
    </row>
    <row r="13" spans="2:15" ht="25.5" customHeight="1">
      <c r="B13" s="43" t="s">
        <v>30</v>
      </c>
      <c r="C13" s="57"/>
      <c r="D13" s="61" t="s">
        <v>31</v>
      </c>
      <c r="E13" s="61"/>
      <c r="F13" s="61"/>
      <c r="G13" s="61"/>
      <c r="H13" s="61" t="s">
        <v>32</v>
      </c>
      <c r="I13" s="61"/>
      <c r="J13" s="61"/>
      <c r="K13" s="61" t="s">
        <v>33</v>
      </c>
      <c r="L13" s="61"/>
      <c r="M13" s="61"/>
      <c r="N13" s="61" t="s">
        <v>34</v>
      </c>
      <c r="O13" s="64"/>
    </row>
    <row r="14" spans="2:15" ht="25.5" customHeight="1">
      <c r="B14" s="44"/>
      <c r="C14" s="58"/>
      <c r="D14" s="62"/>
      <c r="E14" s="62"/>
      <c r="F14" s="62"/>
      <c r="G14" s="62"/>
      <c r="H14" s="62"/>
      <c r="I14" s="62"/>
      <c r="J14" s="62"/>
      <c r="K14" s="62"/>
      <c r="L14" s="62"/>
      <c r="M14" s="62"/>
      <c r="N14" s="62"/>
      <c r="O14" s="65"/>
    </row>
    <row r="15" spans="2:15" ht="25.5" customHeight="1">
      <c r="B15" s="44"/>
      <c r="C15" s="58"/>
      <c r="D15" s="62"/>
      <c r="E15" s="62"/>
      <c r="F15" s="62"/>
      <c r="G15" s="62"/>
      <c r="H15" s="62"/>
      <c r="I15" s="62"/>
      <c r="J15" s="62"/>
      <c r="K15" s="62"/>
      <c r="L15" s="62"/>
      <c r="M15" s="62"/>
      <c r="N15" s="62"/>
      <c r="O15" s="65"/>
    </row>
    <row r="16" spans="2:15" ht="25.5" customHeight="1" thickBot="1">
      <c r="B16" s="59"/>
      <c r="C16" s="60"/>
      <c r="D16" s="63"/>
      <c r="E16" s="63"/>
      <c r="F16" s="63"/>
      <c r="G16" s="63"/>
      <c r="H16" s="63"/>
      <c r="I16" s="63"/>
      <c r="J16" s="63"/>
      <c r="K16" s="63"/>
      <c r="L16" s="63"/>
      <c r="M16" s="63"/>
      <c r="N16" s="63"/>
      <c r="O16" s="66"/>
    </row>
    <row r="17" spans="2:16" ht="44.1" customHeight="1">
      <c r="B17" s="67" t="s">
        <v>35</v>
      </c>
      <c r="C17" s="69" t="s">
        <v>36</v>
      </c>
      <c r="D17" s="69" t="s">
        <v>37</v>
      </c>
      <c r="E17" s="69"/>
      <c r="F17" s="69"/>
      <c r="G17" s="71" t="s">
        <v>38</v>
      </c>
      <c r="H17" s="72"/>
      <c r="I17" s="35" t="s">
        <v>39</v>
      </c>
      <c r="J17" s="36"/>
      <c r="K17" s="35" t="s">
        <v>40</v>
      </c>
      <c r="L17" s="36"/>
      <c r="M17" s="35" t="s">
        <v>41</v>
      </c>
      <c r="N17" s="36"/>
      <c r="O17" s="39" t="s">
        <v>42</v>
      </c>
    </row>
    <row r="18" spans="2:16" ht="15" customHeight="1" thickBot="1">
      <c r="B18" s="68"/>
      <c r="C18" s="70"/>
      <c r="D18" s="14" t="s">
        <v>43</v>
      </c>
      <c r="E18" s="14" t="s">
        <v>44</v>
      </c>
      <c r="F18" s="14" t="s">
        <v>45</v>
      </c>
      <c r="G18" s="73"/>
      <c r="H18" s="74"/>
      <c r="I18" s="37"/>
      <c r="J18" s="38"/>
      <c r="K18" s="37"/>
      <c r="L18" s="38"/>
      <c r="M18" s="37"/>
      <c r="N18" s="38"/>
      <c r="O18" s="40"/>
    </row>
    <row r="19" spans="2:16" ht="145.5" customHeight="1">
      <c r="B19" s="43" t="s">
        <v>46</v>
      </c>
      <c r="C19" s="15" t="s">
        <v>47</v>
      </c>
      <c r="D19" s="15" t="s">
        <v>48</v>
      </c>
      <c r="E19" s="16" t="s">
        <v>49</v>
      </c>
      <c r="F19" s="15" t="s">
        <v>50</v>
      </c>
      <c r="G19" s="45" t="s">
        <v>51</v>
      </c>
      <c r="H19" s="46"/>
      <c r="I19" s="51" t="s">
        <v>52</v>
      </c>
      <c r="J19" s="52"/>
      <c r="K19" s="51" t="s">
        <v>53</v>
      </c>
      <c r="L19" s="52"/>
      <c r="M19" s="51" t="s">
        <v>54</v>
      </c>
      <c r="N19" s="52"/>
      <c r="O19" s="41" t="s">
        <v>55</v>
      </c>
      <c r="P19" s="28"/>
    </row>
    <row r="20" spans="2:16" ht="198.75" customHeight="1">
      <c r="B20" s="44"/>
      <c r="C20" s="17" t="s">
        <v>56</v>
      </c>
      <c r="D20" s="18" t="s">
        <v>57</v>
      </c>
      <c r="E20" s="18" t="s">
        <v>58</v>
      </c>
      <c r="F20" s="18" t="s">
        <v>59</v>
      </c>
      <c r="G20" s="47"/>
      <c r="H20" s="48"/>
      <c r="I20" s="53"/>
      <c r="J20" s="54"/>
      <c r="K20" s="53"/>
      <c r="L20" s="54"/>
      <c r="M20" s="53"/>
      <c r="N20" s="54"/>
      <c r="O20" s="41"/>
      <c r="P20" s="28"/>
    </row>
    <row r="21" spans="2:16" ht="200.25" customHeight="1" thickBot="1">
      <c r="B21" s="44"/>
      <c r="C21" s="19" t="s">
        <v>60</v>
      </c>
      <c r="D21" s="19" t="s">
        <v>61</v>
      </c>
      <c r="E21" s="19" t="s">
        <v>62</v>
      </c>
      <c r="F21" s="19" t="s">
        <v>63</v>
      </c>
      <c r="G21" s="49"/>
      <c r="H21" s="50"/>
      <c r="I21" s="55"/>
      <c r="J21" s="56"/>
      <c r="K21" s="55"/>
      <c r="L21" s="56"/>
      <c r="M21" s="55"/>
      <c r="N21" s="56"/>
      <c r="O21" s="42"/>
      <c r="P21" s="28"/>
    </row>
    <row r="22" spans="2:16" ht="112.5" customHeight="1">
      <c r="B22" s="12" t="s">
        <v>64</v>
      </c>
      <c r="C22" s="29" t="s">
        <v>65</v>
      </c>
      <c r="D22" s="30"/>
      <c r="E22" s="30"/>
      <c r="F22" s="30"/>
      <c r="G22" s="30"/>
      <c r="H22" s="30"/>
      <c r="I22" s="30"/>
      <c r="J22" s="30"/>
      <c r="K22" s="30"/>
      <c r="L22" s="30"/>
      <c r="M22" s="30"/>
      <c r="N22" s="30"/>
      <c r="O22" s="31"/>
    </row>
    <row r="23" spans="2:16" ht="138" customHeight="1" thickBot="1">
      <c r="B23" s="13" t="s">
        <v>66</v>
      </c>
      <c r="C23" s="32" t="s">
        <v>67</v>
      </c>
      <c r="D23" s="33"/>
      <c r="E23" s="33"/>
      <c r="F23" s="33"/>
      <c r="G23" s="33"/>
      <c r="H23" s="33"/>
      <c r="I23" s="33"/>
      <c r="J23" s="33"/>
      <c r="K23" s="33"/>
      <c r="L23" s="33"/>
      <c r="M23" s="33"/>
      <c r="N23" s="33"/>
      <c r="O23" s="34"/>
    </row>
    <row r="25" spans="2:16">
      <c r="B25" s="94" t="s">
        <v>68</v>
      </c>
      <c r="C25" s="95"/>
      <c r="D25" s="95"/>
      <c r="E25" s="95"/>
      <c r="F25" s="95"/>
      <c r="G25" s="95"/>
      <c r="H25" s="95"/>
      <c r="I25" s="95"/>
      <c r="J25" s="95"/>
      <c r="K25" s="95"/>
      <c r="L25" s="95"/>
      <c r="M25" s="95"/>
      <c r="N25" s="95"/>
      <c r="O25" s="95"/>
    </row>
    <row r="26" spans="2:16">
      <c r="B26" s="96" t="s">
        <v>4</v>
      </c>
      <c r="C26" s="96"/>
      <c r="D26" s="96" t="s">
        <v>69</v>
      </c>
      <c r="E26" s="96"/>
      <c r="F26" s="96"/>
      <c r="G26" s="96" t="s">
        <v>70</v>
      </c>
      <c r="H26" s="96"/>
      <c r="I26" s="96"/>
      <c r="J26" s="96"/>
      <c r="K26" s="96"/>
      <c r="L26" s="96"/>
      <c r="M26" s="96"/>
      <c r="N26" s="96"/>
      <c r="O26" s="96"/>
    </row>
    <row r="27" spans="2:16">
      <c r="B27" s="96"/>
      <c r="C27" s="96"/>
      <c r="D27" s="23" t="s">
        <v>71</v>
      </c>
      <c r="E27" s="23" t="s">
        <v>72</v>
      </c>
      <c r="F27" s="23" t="s">
        <v>73</v>
      </c>
      <c r="G27" s="96"/>
      <c r="H27" s="96"/>
      <c r="I27" s="96"/>
      <c r="J27" s="96"/>
      <c r="K27" s="96"/>
      <c r="L27" s="96"/>
      <c r="M27" s="96"/>
      <c r="N27" s="96"/>
      <c r="O27" s="96"/>
    </row>
    <row r="28" spans="2:16">
      <c r="B28" s="97">
        <v>1</v>
      </c>
      <c r="C28" s="97"/>
      <c r="D28" s="24"/>
      <c r="E28" s="24"/>
      <c r="F28" s="25"/>
      <c r="G28" s="97" t="s">
        <v>74</v>
      </c>
      <c r="H28" s="97"/>
      <c r="I28" s="97"/>
      <c r="J28" s="97"/>
      <c r="K28" s="97"/>
      <c r="L28" s="97"/>
      <c r="M28" s="97"/>
      <c r="N28" s="97"/>
      <c r="O28" s="97"/>
    </row>
    <row r="29" spans="2:16">
      <c r="B29" s="26"/>
      <c r="C29" s="27"/>
      <c r="D29" s="27"/>
      <c r="E29" s="27"/>
      <c r="F29" s="27"/>
      <c r="G29" s="26"/>
      <c r="H29" s="26"/>
      <c r="I29" s="26"/>
      <c r="J29" s="27"/>
      <c r="K29" s="27"/>
      <c r="L29" s="27"/>
      <c r="M29" s="27"/>
      <c r="N29" s="27"/>
      <c r="O29" s="27"/>
    </row>
    <row r="30" spans="2:16">
      <c r="B30" s="87" t="s">
        <v>75</v>
      </c>
      <c r="C30" s="87"/>
      <c r="D30" s="87"/>
      <c r="E30" s="87"/>
      <c r="F30" s="87"/>
      <c r="G30" s="87"/>
      <c r="H30" s="87"/>
      <c r="I30" s="87"/>
      <c r="J30" s="87"/>
      <c r="K30" s="87"/>
      <c r="L30" s="87"/>
      <c r="M30" s="87"/>
      <c r="N30" s="87"/>
      <c r="O30" s="87"/>
    </row>
    <row r="31" spans="2:16">
      <c r="B31" s="87" t="s">
        <v>76</v>
      </c>
      <c r="C31" s="87"/>
      <c r="D31" s="87"/>
      <c r="E31" s="87"/>
      <c r="F31" s="87"/>
      <c r="G31" s="87"/>
      <c r="H31" s="87"/>
      <c r="I31" s="87"/>
      <c r="J31" s="87"/>
      <c r="K31" s="87"/>
      <c r="L31" s="87"/>
      <c r="M31" s="87"/>
      <c r="N31" s="87"/>
      <c r="O31" s="87"/>
    </row>
    <row r="32" spans="2:16">
      <c r="B32" s="96" t="s">
        <v>77</v>
      </c>
      <c r="C32" s="96"/>
      <c r="D32" s="96"/>
      <c r="E32" s="96"/>
      <c r="F32" s="96"/>
      <c r="G32" s="96"/>
      <c r="H32" s="96" t="s">
        <v>78</v>
      </c>
      <c r="I32" s="96"/>
      <c r="J32" s="96"/>
      <c r="K32" s="96"/>
      <c r="L32" s="96"/>
      <c r="M32" s="96" t="s">
        <v>79</v>
      </c>
      <c r="N32" s="96"/>
      <c r="O32" s="96"/>
    </row>
    <row r="33" spans="2:15">
      <c r="B33" s="98"/>
      <c r="C33" s="98"/>
      <c r="D33" s="98"/>
      <c r="E33" s="98"/>
      <c r="F33" s="98"/>
      <c r="G33" s="98"/>
      <c r="H33" s="98"/>
      <c r="I33" s="98"/>
      <c r="J33" s="98"/>
      <c r="K33" s="98"/>
      <c r="L33" s="98"/>
      <c r="M33" s="98"/>
      <c r="N33" s="98"/>
      <c r="O33" s="98"/>
    </row>
    <row r="34" spans="2:15">
      <c r="B34" s="96" t="s">
        <v>80</v>
      </c>
      <c r="C34" s="96"/>
      <c r="D34" s="96"/>
      <c r="E34" s="96"/>
      <c r="F34" s="96"/>
      <c r="G34" s="96"/>
      <c r="H34" s="96"/>
      <c r="I34" s="96"/>
      <c r="J34" s="96"/>
      <c r="K34" s="96"/>
      <c r="L34" s="96"/>
      <c r="M34" s="96"/>
      <c r="N34" s="96"/>
      <c r="O34" s="96"/>
    </row>
    <row r="35" spans="2:15">
      <c r="B35" s="96" t="s">
        <v>77</v>
      </c>
      <c r="C35" s="96"/>
      <c r="D35" s="96"/>
      <c r="E35" s="96"/>
      <c r="F35" s="96"/>
      <c r="G35" s="96"/>
      <c r="H35" s="96" t="s">
        <v>78</v>
      </c>
      <c r="I35" s="96"/>
      <c r="J35" s="96"/>
      <c r="K35" s="96"/>
      <c r="L35" s="96"/>
      <c r="M35" s="96" t="s">
        <v>79</v>
      </c>
      <c r="N35" s="96"/>
      <c r="O35" s="96"/>
    </row>
    <row r="36" spans="2:15">
      <c r="B36" s="99" t="s">
        <v>81</v>
      </c>
      <c r="C36" s="100"/>
      <c r="D36" s="100"/>
      <c r="E36" s="100"/>
      <c r="F36" s="100"/>
      <c r="G36" s="101"/>
      <c r="H36" s="99" t="s">
        <v>82</v>
      </c>
      <c r="I36" s="100"/>
      <c r="J36" s="100"/>
      <c r="K36" s="100"/>
      <c r="L36" s="101"/>
      <c r="M36" s="99" t="s">
        <v>83</v>
      </c>
      <c r="N36" s="100"/>
      <c r="O36" s="101"/>
    </row>
    <row r="37" spans="2:15">
      <c r="B37" s="96" t="s">
        <v>84</v>
      </c>
      <c r="C37" s="96"/>
      <c r="D37" s="96"/>
      <c r="E37" s="96"/>
      <c r="F37" s="96"/>
      <c r="G37" s="96"/>
      <c r="H37" s="96"/>
      <c r="I37" s="96"/>
      <c r="J37" s="96"/>
      <c r="K37" s="96"/>
      <c r="L37" s="96"/>
      <c r="M37" s="96"/>
      <c r="N37" s="96"/>
      <c r="O37" s="96"/>
    </row>
    <row r="38" spans="2:15">
      <c r="B38" s="96" t="s">
        <v>77</v>
      </c>
      <c r="C38" s="96"/>
      <c r="D38" s="96"/>
      <c r="E38" s="96"/>
      <c r="F38" s="96"/>
      <c r="G38" s="96"/>
      <c r="H38" s="96" t="s">
        <v>78</v>
      </c>
      <c r="I38" s="96"/>
      <c r="J38" s="96"/>
      <c r="K38" s="96"/>
      <c r="L38" s="96"/>
      <c r="M38" s="96" t="s">
        <v>79</v>
      </c>
      <c r="N38" s="96"/>
      <c r="O38" s="96"/>
    </row>
    <row r="39" spans="2:15">
      <c r="B39" s="98"/>
      <c r="C39" s="98"/>
      <c r="D39" s="98"/>
      <c r="E39" s="98"/>
      <c r="F39" s="98"/>
      <c r="G39" s="98"/>
      <c r="H39" s="98"/>
      <c r="I39" s="98"/>
      <c r="J39" s="98"/>
      <c r="K39" s="98"/>
      <c r="L39" s="98"/>
      <c r="M39" s="98"/>
      <c r="N39" s="98"/>
      <c r="O39" s="98"/>
    </row>
  </sheetData>
  <mergeCells count="70">
    <mergeCell ref="B39:G39"/>
    <mergeCell ref="H39:L39"/>
    <mergeCell ref="M39:O39"/>
    <mergeCell ref="B36:G36"/>
    <mergeCell ref="H36:L36"/>
    <mergeCell ref="M36:O36"/>
    <mergeCell ref="B37:O37"/>
    <mergeCell ref="B38:G38"/>
    <mergeCell ref="H38:L38"/>
    <mergeCell ref="M38:O38"/>
    <mergeCell ref="B33:G33"/>
    <mergeCell ref="H33:L33"/>
    <mergeCell ref="M33:O33"/>
    <mergeCell ref="B34:O34"/>
    <mergeCell ref="B35:G35"/>
    <mergeCell ref="H35:L35"/>
    <mergeCell ref="M35:O35"/>
    <mergeCell ref="B30:O30"/>
    <mergeCell ref="B31:O31"/>
    <mergeCell ref="B32:G32"/>
    <mergeCell ref="H32:L32"/>
    <mergeCell ref="M32:O32"/>
    <mergeCell ref="B25:O25"/>
    <mergeCell ref="B26:C27"/>
    <mergeCell ref="D26:F26"/>
    <mergeCell ref="G26:O27"/>
    <mergeCell ref="B28:C28"/>
    <mergeCell ref="G28:O28"/>
    <mergeCell ref="C9:I9"/>
    <mergeCell ref="K9:M9"/>
    <mergeCell ref="B2:B4"/>
    <mergeCell ref="C2:O2"/>
    <mergeCell ref="C3:O4"/>
    <mergeCell ref="D5:F5"/>
    <mergeCell ref="H5:J5"/>
    <mergeCell ref="K5:L5"/>
    <mergeCell ref="M5:N5"/>
    <mergeCell ref="B6:O6"/>
    <mergeCell ref="B7:O7"/>
    <mergeCell ref="C8:F8"/>
    <mergeCell ref="H8:I8"/>
    <mergeCell ref="C10:O10"/>
    <mergeCell ref="C11:O11"/>
    <mergeCell ref="B12:C12"/>
    <mergeCell ref="D12:G12"/>
    <mergeCell ref="H12:J12"/>
    <mergeCell ref="K12:M12"/>
    <mergeCell ref="N12:O12"/>
    <mergeCell ref="B17:B18"/>
    <mergeCell ref="C17:C18"/>
    <mergeCell ref="D17:F17"/>
    <mergeCell ref="G17:H18"/>
    <mergeCell ref="I17:J18"/>
    <mergeCell ref="B13:C16"/>
    <mergeCell ref="D13:G16"/>
    <mergeCell ref="H13:J16"/>
    <mergeCell ref="K13:M16"/>
    <mergeCell ref="N13:O16"/>
    <mergeCell ref="B19:B21"/>
    <mergeCell ref="G19:H21"/>
    <mergeCell ref="I19:J21"/>
    <mergeCell ref="K19:L21"/>
    <mergeCell ref="M19:N21"/>
    <mergeCell ref="P19:P21"/>
    <mergeCell ref="C22:O22"/>
    <mergeCell ref="C23:O23"/>
    <mergeCell ref="K17:L18"/>
    <mergeCell ref="M17:N18"/>
    <mergeCell ref="O17:O18"/>
    <mergeCell ref="O19:O2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Danny Aldemar Jiménez Martín</cp:lastModifiedBy>
  <cp:revision/>
  <dcterms:created xsi:type="dcterms:W3CDTF">2023-12-18T16:00:12Z</dcterms:created>
  <dcterms:modified xsi:type="dcterms:W3CDTF">2025-11-12T19:44:28Z</dcterms:modified>
  <cp:category/>
  <cp:contentStatus/>
</cp:coreProperties>
</file>