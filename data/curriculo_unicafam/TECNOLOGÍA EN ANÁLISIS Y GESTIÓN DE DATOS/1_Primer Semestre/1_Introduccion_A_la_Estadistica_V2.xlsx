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nicafamnet-my.sharepoint.com/personal/fulbia_ceron_unicafam_edu_co/Documents/Unicafam/Curricular/Actualizacion_UA_2025_01/Tecnología_Analisis_Gestion_Datos/"/>
    </mc:Choice>
  </mc:AlternateContent>
  <xr:revisionPtr revIDLastSave="15" documentId="13_ncr:1_{2010FF89-5947-478C-A77C-717C54DB1670}" xr6:coauthVersionLast="47" xr6:coauthVersionMax="47" xr10:uidLastSave="{4CF0BDF6-3561-48CD-AE62-2A79A636BC8B}"/>
  <bookViews>
    <workbookView xWindow="28680" yWindow="-120" windowWidth="20730" windowHeight="11040" xr2:uid="{5215262C-71F8-4050-9223-2AC67CBDAC40}"/>
  </bookViews>
  <sheets>
    <sheet name="INTR A ESTADISTICA" sheetId="7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Print_Area" localSheetId="0">'INTR A ESTADISTICA'!$B$2:$O$48</definedName>
    <definedName name="Competencias">[1]MaestroCompetencias!$B$2:$B$11</definedName>
    <definedName name="CRÉDITOS">'[2]Códigos '!$AK$70:$AK$74</definedName>
    <definedName name="DatosCompleto">[3]MaestroUA!$B$2:$M$89</definedName>
    <definedName name="ingenieria">#REF!</definedName>
    <definedName name="RedacciónRecurso">[4]MaestroRecursos!$B$2:$B$102</definedName>
    <definedName name="ResultadoAprendizaje">[1]MaestroResultadosA!$B$2:$B$12</definedName>
    <definedName name="Semestre">[5]asdf!$A$13:$A$20</definedName>
    <definedName name="TIPOLOGÍA">'[2]Códigos '!$AJ$70:$AJ$72</definedName>
    <definedName name="UnidadAcademica">[3]MaestroUA!$B$2:$B$89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7" l="1"/>
  <c r="M8" i="7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<sst xmlns="http://schemas.openxmlformats.org/spreadsheetml/2006/main" count="102" uniqueCount="94">
  <si>
    <t>FUNDACIÓN UNIVERSITARIA CAFAM</t>
  </si>
  <si>
    <t xml:space="preserve">MACROPROCESO MISIONAL
DOCENCIA
UNIDAD DE APRENDIZAJE </t>
  </si>
  <si>
    <t>CÓDIGO</t>
  </si>
  <si>
    <t>MIDOFO05</t>
  </si>
  <si>
    <t>VERSIÓN</t>
  </si>
  <si>
    <t>VIGENCIA</t>
  </si>
  <si>
    <t>PÁGINA</t>
  </si>
  <si>
    <t>1 de 1</t>
  </si>
  <si>
    <t xml:space="preserve">UNIDAD DE APRENDIZAJE </t>
  </si>
  <si>
    <t>NOMBRE UNIDAD DE APRENDIZAJE:</t>
  </si>
  <si>
    <t>INTRODUCCION A LA ESTADISTICA</t>
  </si>
  <si>
    <t>N° Créditos:</t>
  </si>
  <si>
    <t>TFD:</t>
  </si>
  <si>
    <t>TTI:</t>
  </si>
  <si>
    <t>MODALIDAD:</t>
  </si>
  <si>
    <t>PROGRAMA:</t>
  </si>
  <si>
    <t>Tecnología en Análisis y Gestión de Datos</t>
  </si>
  <si>
    <t>SEMESTRE:</t>
  </si>
  <si>
    <t>I</t>
  </si>
  <si>
    <t>CÓDIGO:</t>
  </si>
  <si>
    <t>ÁREA DE FORMACIÓN:</t>
  </si>
  <si>
    <t>Básica</t>
  </si>
  <si>
    <t>JUSTIFICACIÓN:</t>
  </si>
  <si>
    <t>La estadística es importante en la tecnología en análisis y gestión de datos porque proporciona las bases necesarias para comprender, limpiar, visualizar y evaluar datos de manera efectiva. Facilita la toma de decisiones informadas, la optimización de procesos y la innovación a través de la interpretación adecuada de datos y la extracción de insights significativos para las organizaciones.</t>
  </si>
  <si>
    <t xml:space="preserve">COMPETENCIA </t>
  </si>
  <si>
    <t>SABERES ESPECÍFICOS
(saber)</t>
  </si>
  <si>
    <t xml:space="preserve">HABILIDADES O DESTREZAS 
(saber hacer) </t>
  </si>
  <si>
    <t xml:space="preserve">ACTITUDES 
(saber ser) </t>
  </si>
  <si>
    <t xml:space="preserve">APRENDER A APRENDER </t>
  </si>
  <si>
    <t>Procesar datos que permitan identificar patrones y generar hipótesis sobre la relación entre estos.</t>
  </si>
  <si>
    <t>1.	Descripción de datos 
1.1.	Introducción a la estadística
1.2.	Escalas de medición: nominal, ordinal, de intervalo, de razón y su representación grafica 
1.3.	Distribución de frecuencias y graficas 
1.4.	Medidas de tendencia central (datos sin agrupar - datos agrupados): meda, mediana - moda media ponderada media geométrica
1.5.	Medidas de posición (datos sin agrupar - datos agrupados):   - deciles, cuartiles, percentiles   y su representación grafica (diagrama de cajas y bigotes)
1.6.	Medidas de dispersión (datos sin agrupar - datos agrupados):  - Rango, desviación media, varianza y desviación estándar - coeficiente de variación 
1.7.	Medidas de forma: - sesgo, asimétrica y curtosis
1.8.	Medidas de asociación:  Diagrama de dispersión, coeficiente de correlación lineal de Pearson.
2.	Probabilidad 
2.1.	Introducción a la probabilidad 
2.2.	Teoría de conjuntos
2.3.	Técnicas de conteo
2.4.	Principios y axiomas
2.5.	Probabilidad condicional
2.6.	Independencia de eventos 
2.7.	Teorema de Bayes</t>
  </si>
  <si>
    <t xml:space="preserve">Reconoce la diferencia entre variables cualitativas y cuantitativas, además de las escalas de medición de estas variables.  
Organiza datos estadísticos en tablas de frecuencias para datos sin agrupar y datos agrupados.
Elabora e interpreta gráficos a partir de datos estadísticos.
Calcula medidas de tendencia central, medidas de posición, medidas de dispersión y medidas de forma a partir de datos estadísticos.
Utiliza Excel para calcular las medidas descriptivas más comunes.
Utiliza el concepto de probabilidad de eventos en situaciones simples.
Aplica la teoría de conjuntos y las técnicas de conteo para determinar los elementos de un evento o de un espacio muestral.
Identificar las características de los eventos bajo los criterios de condicionalidad para determinar su probabilidad. </t>
  </si>
  <si>
    <t>Manifiesta disposición y actitud positiva hacia el aprendizaje de las matemáticas.
Reconoce en  las matemáticas un oportunidad de crecimiento intelectual y profesional
Demuestra rigor en la elaboración de problemas matemáticos.
Demuestra orden y pulcritud en la presentación de sus trabajos.</t>
  </si>
  <si>
    <t>Construye sus metas de aprendizaje para el desarrollo de la unidad.
Aplica y reflexiona sobre las estrategias que le permiten acceder, manejar y transformar sus conocimientos.
Reflexiona, verifica y autorregula su aprendizaje</t>
  </si>
  <si>
    <t xml:space="preserve">RESULTADO DE APREDIZAJE DEL PROGRAMA </t>
  </si>
  <si>
    <t xml:space="preserve">RESULTADOS DE APRENDIZAJE DE LA UNIDAD DE APZ </t>
  </si>
  <si>
    <t xml:space="preserve">CRITERIOS DE EVALUACIÓN </t>
  </si>
  <si>
    <t xml:space="preserve">ESTRATEGIAS DE EVALUACIÓN </t>
  </si>
  <si>
    <t>EVIDENCIAS DE CONOCIMIENTO</t>
  </si>
  <si>
    <t>EVIDENCIAS DE DESEMPEÑO</t>
  </si>
  <si>
    <t>EVIDENCIAS DE PRODUCTO</t>
  </si>
  <si>
    <t xml:space="preserve">METODOLOGIA:  ACTIVIDADES Y  ESTRATEGIAS  </t>
  </si>
  <si>
    <t xml:space="preserve">Nivel  Alto </t>
  </si>
  <si>
    <t xml:space="preserve">Nivel Medio </t>
  </si>
  <si>
    <t>Nivel bajo</t>
  </si>
  <si>
    <t>Identifica las relaciones existentes entre los datos para proponer hipótesis</t>
  </si>
  <si>
    <t>Identifica variables cualitativas y cuantitativas, además de sus  escalas de medición en situaciones problemas.</t>
  </si>
  <si>
    <t>Identifica variables cualitativas y cuantitativas, además de sus escalas de medición  en situaciones problemas.</t>
  </si>
  <si>
    <t>Identifica algunas variables cualitativas y cuantitativas, además de algunas de sus escalas de medición  en situaciones problemas.</t>
  </si>
  <si>
    <t>No identifica variables cualitativas y cuantitativas, ni sus escalas de medición.</t>
  </si>
  <si>
    <t>Resolución de Ejercicios y Problemas.
Aprendizaje Basado en Problemas.</t>
  </si>
  <si>
    <t>Con la rúbrica como herramienta de evaluación de los aprendizajes adquiridos, se evidenciará:
A.) La aplicación precisa de procedimientos seleccionados
B.) La comprensión y aplicación de conceptos teóricos relevantes para la resolución del problema, incluyendo la precisión en el uso de fórmulas, teoremas o principios pertinentes.
C.) La correcta interpretación de los datos, las condiciones del problema y los resultados alcanzados.</t>
  </si>
  <si>
    <t xml:space="preserve">Con la rúbrica como herramienta de evaluación del desempeño se evidenciará:
A.) La claridad en la presentación del razonamiento.
B.) La  metodología utilizada para llegar a la solución.
C.) la capacidad para identificar y manejar adecuadamente las etapas. del proceso de resolución.
D.) la eficiencia en el uso de recursos y tiempo. </t>
  </si>
  <si>
    <t xml:space="preserve">Utilizando la rúbrica como herramienta de evaluación, se valorara en el informe final,  la solución numérica o analítica correcta, la verificación de la solución para asegurar su validez, la presentación adecuada de los resultados con unidades correctas y cifras significativas, así como la interpretación de las implicaciones de la solución dentro del contexto del problema planteado
El informe final puede ser 
Productos Tangibles:
Informes, documentos técnicos, manuales o presentaciones que documentan el proceso y los resultados del problema.
Presentaciones o Demostraciones:
Exposiciones públicas, presentaciones orales o demostraciones ante compañeros
Portafolios:
Recopilación de trabajos,  análisis, investigaciones y reflexiones relacionadas con el problema.
Evaluaciones ecritas </t>
  </si>
  <si>
    <t>Resolución de Ejercicios y Problemas.
1. Reconocimiento del problema. Comprensión.
2. Análisis, búsqueda y selección del procedimiento o plan de resolución.
3. Aplicación del procedimiento o plan seleccionado.
4. Comprobación e interpretación del resultado.
Aprendizaje Basado en Problemas. 
1. Leer y analizar el escenario o situación problema
2. Identificar los objetivos de aprendizaje 
3. Identificar el conocimiento necesario previo y, reconocer saberes que requieren mayor profundización para lograr su solución.
4. Elaborar un esquema o representación que le permita comprender el problema.
5. Elaborar un diagnóstico que le permita una aproximación a la solución del problema.
6. Elaborar un plan de trabajo para abordar el problema
7. Recopilar información sobre el problema
8. Analizar la información recogida
9. Plantear los posibles resultados y evaluar su capacidad para abordar el problema
10. Desarrollar procesos de retroalimentación que lo lleven a verificar la solución del problema o nuevas hipótesis 
11. Reflexionar sobre el desempeño individual y grupal durante el desarrollo de la actividad.</t>
  </si>
  <si>
    <t>Organiza datos estadísticos en tablas de frecuencias y graficos para datos sin agrupar o datos agrupados e interpreta sus resultados en estudios de casos.</t>
  </si>
  <si>
    <t>Organiza parcialmente datos estadísticos en tablas de frecuencias y graficos para datos sin agrupar o datos agrupados e interpreta algunos de sus resultados en estudios de casos.</t>
  </si>
  <si>
    <t>No organiza datos estadísticos en tablas de frecuencias ni graficos para datos sin agrupar o datos agrupados.</t>
  </si>
  <si>
    <t>Calcula e interpreta medidas de tendencia central, medidas de posición, medidas de dispersión y medidas de forma a partir de datos estadísticos en estudios de casos.</t>
  </si>
  <si>
    <t xml:space="preserve">Calcula e interpreta medidas de tendencia central, medidas de posición, medidas de dispersión y medidas de forma a partir de datos estadísticos en estudios de casos., mediante procedimientos matemáticos que lleven una secuencia lógica </t>
  </si>
  <si>
    <t xml:space="preserve">Calcula e interpreta parcialmente  medidas de tendencia central, medidas de posición, medidas de dispersión y medidas de forma a partir de datos estadísticos en estudios de casos, mediante algunos  procedimientos matemáticos que lleven una secuencia lógica </t>
  </si>
  <si>
    <t>No calcula ni interpreta medidas de tendencia central, medidas de posición, medidas de dispersión y medidas de forma a partir de datos estadísticos en estudios de casos</t>
  </si>
  <si>
    <t>Calcula la probabilidad a partir de principios de la teoria de conjuntos y tecnicas de conteo en situaciones problemas.</t>
  </si>
  <si>
    <t>Calcula la probabilidad a partir de principios de la teoria de conjuntos y tecnicas de conteo en situaciones problemas, mediante procedimientos matemáticos que lleven una secuencia lógica.</t>
  </si>
  <si>
    <t>Calcula parcialmente la probabilidad a partir de principios de la teoria de conjuntos y tecnicas de conteo en situaciones problemas. Mediante procedimientos matemáticos que lleven una secuencia lógica.</t>
  </si>
  <si>
    <t>No  calcula la probabilidad a partir de principios de la teoria de conjuntos ni tecnicas de conteo en situaciones problémicas.</t>
  </si>
  <si>
    <t xml:space="preserve">Calcula la probabilidad de uno o mas eventos teniendo en cuenta sus criterios de condicionalidad en estudios de caso
</t>
  </si>
  <si>
    <t>Calcula la probabilidad de uno o mas eventos teniendo en cuenta sus criterios de condicionalidad en estudios de caso, mediante procedimientos matemáticos que lleven una secuencia lógica.</t>
  </si>
  <si>
    <t>Calcula parcialmente la probabilidad de uno o mas eventos teniendo en cuenta sus criterios de condicionalidad en estudios de caso, mediante algunos  procedimientos matemáticos que lleven una secuencia lógica.</t>
  </si>
  <si>
    <t>No calcula la probabilidad de uno o mas eventos ni  tiene en  cuenta sus criterios de condicionalidad en estudios de caso.</t>
  </si>
  <si>
    <t xml:space="preserve">RECURSOS DE APOYO </t>
  </si>
  <si>
    <t>Aula virtual
Software https://www.mathworks.com/products/matlab.html
Software GeoGebra License; Non-commercial freeware; portions under General Public License (GPL).
Microsoft 365, incluye Microsoft Office (Word, Excel, PowerPoint, Publisher, Access, Power BI, OneNote, Outlook, Project y Visio), Licencia Universitaria. 
Enginnering plus (gale).
Science infomation (gale).
Computer Science (gale).
E-Collection (ISO) (iCONTEC).
https://elibro-net.biblioteca.unicafam.edu.co/es/lc/unicafam/inicio</t>
  </si>
  <si>
    <t xml:space="preserve">BIBLIOGRAFÍA  </t>
  </si>
  <si>
    <t xml:space="preserve">Lind, D., Marchal, W., Wathen S. (2015). Estadística aplicada a los negocios y la economía.  Mac Graw Hill										
Newbold, P,. (2008) Estadística para administración y economía. Pearson- Prentice Hall										
Peña, D. (2015). Fundamentos de estadística. Difusora Larousse - Alianza Editorial. https://elibro-net.biblioteca.unicafam.edu.co										
Álvares, Á. (2010). Estadística empresarial. Firmas Press. https://elibro-net.biblioteca.unicafam.edu.co										
Montgomery, D. (2009).  Probabilidad y estadística aplicadas a la ingeniería. Limusa Wiley,										
Mendenhall, W. (2010).   Introducción a la probabilidad y estadística. Cengage Learning										
Quevedo Urías, H. A. y Pérez Salvador, B. R. (2015). Estadística para ingeniería y ciencias. Grupo Editorial Patria. https://elibro-net.biblioteca.unicafam.edu.co/es/lc/unicafam/titulos/39467		</t>
  </si>
  <si>
    <t>CONTROL DE CAMBIOS</t>
  </si>
  <si>
    <t>FECHA DE APROBACIÓN</t>
  </si>
  <si>
    <t>DESCRIPCIÓN DEL CAMBIO</t>
  </si>
  <si>
    <t>DD</t>
  </si>
  <si>
    <t>MM</t>
  </si>
  <si>
    <t>AAAA</t>
  </si>
  <si>
    <t>Se modifica la justificación; se modifican las evidencias de conocimiento, desempeño y producto y metodología. Cambio de formato.</t>
  </si>
  <si>
    <t>CONTROL DE DOCUMENTOS</t>
  </si>
  <si>
    <t>ELABORO</t>
  </si>
  <si>
    <t>NOMBRES Y APELLIDOS</t>
  </si>
  <si>
    <t>CARGO</t>
  </si>
  <si>
    <t>FIRMA</t>
  </si>
  <si>
    <t>MARTHA LUCIA PAEZ CELY</t>
  </si>
  <si>
    <t>coordinación de ciencias básicas</t>
  </si>
  <si>
    <t>REVISO</t>
  </si>
  <si>
    <t>Miller Alexander Quiroga Campos</t>
  </si>
  <si>
    <t>Profesor de Ciencia de Datos y TAGD</t>
  </si>
  <si>
    <t>Miller A. Quiroga Campos</t>
  </si>
  <si>
    <t>APROBÓ</t>
  </si>
  <si>
    <t>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</si>
</sst>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Verdana"/>
      <family val="2"/>
    </font>
    <font>
      <b/>
      <sz val="11"/>
      <color rgb="FFFFFFFF"/>
      <name val="Verdana"/>
      <family val="2"/>
    </font>
    <font>
      <b/>
      <sz val="11"/>
      <color rgb="FF000000"/>
      <name val="Verdana"/>
      <family val="2"/>
    </font>
    <font>
      <b/>
      <sz val="11"/>
      <color theme="0"/>
      <name val="Verdana"/>
      <family val="2"/>
    </font>
    <font>
      <sz val="11"/>
      <color theme="1"/>
      <name val="Verdana"/>
      <family val="2"/>
    </font>
    <font>
      <sz val="11"/>
      <color theme="1" tint="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FF"/>
        <bgColor rgb="FF000000"/>
      </patternFill>
    </fill>
  </fills>
  <borders count="5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29">
    <xf numFmtId="0" fontId="0" fillId="0" borderId="0" xfId="0"/>
    <xf numFmtId="0" fontId="9" fillId="0" borderId="10" xfId="0" applyFont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0" fillId="5" borderId="0" xfId="0" applyFill="1"/>
    <xf numFmtId="0" fontId="6" fillId="2" borderId="1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26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5" fillId="0" borderId="42" xfId="0" applyFont="1" applyBorder="1" applyAlignment="1">
      <alignment horizontal="left" vertical="center" wrapText="1"/>
    </xf>
    <xf numFmtId="0" fontId="5" fillId="0" borderId="43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0" fillId="0" borderId="37" xfId="0" applyBorder="1"/>
    <xf numFmtId="0" fontId="5" fillId="0" borderId="44" xfId="0" applyFont="1" applyBorder="1" applyAlignment="1">
      <alignment horizontal="left" vertical="center" wrapText="1"/>
    </xf>
    <xf numFmtId="0" fontId="5" fillId="0" borderId="36" xfId="0" applyFont="1" applyBorder="1" applyAlignment="1">
      <alignment horizontal="left" vertical="center" wrapText="1"/>
    </xf>
    <xf numFmtId="0" fontId="12" fillId="6" borderId="9" xfId="0" applyFont="1" applyFill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0" fontId="13" fillId="5" borderId="0" xfId="0" applyFont="1" applyFill="1" applyAlignment="1">
      <alignment horizontal="center" vertical="center"/>
    </xf>
    <xf numFmtId="0" fontId="8" fillId="3" borderId="25" xfId="0" applyFont="1" applyFill="1" applyBorder="1" applyAlignment="1">
      <alignment vertical="center" wrapText="1"/>
    </xf>
    <xf numFmtId="0" fontId="7" fillId="0" borderId="11" xfId="0" applyFont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4" fillId="0" borderId="48" xfId="0" applyFont="1" applyBorder="1" applyAlignment="1">
      <alignment vertical="top" wrapText="1"/>
    </xf>
    <xf numFmtId="0" fontId="14" fillId="0" borderId="49" xfId="0" applyFont="1" applyBorder="1" applyAlignment="1">
      <alignment vertical="top" wrapText="1"/>
    </xf>
    <xf numFmtId="0" fontId="14" fillId="0" borderId="50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center" wrapText="1"/>
    </xf>
    <xf numFmtId="0" fontId="8" fillId="2" borderId="21" xfId="1" applyFont="1" applyFill="1" applyBorder="1" applyAlignment="1">
      <alignment horizontal="center" vertical="center" wrapText="1"/>
    </xf>
    <xf numFmtId="0" fontId="12" fillId="6" borderId="10" xfId="0" applyFont="1" applyFill="1" applyBorder="1" applyAlignment="1" applyProtection="1">
      <alignment vertical="center" wrapText="1"/>
      <protection hidden="1"/>
    </xf>
    <xf numFmtId="0" fontId="0" fillId="3" borderId="10" xfId="0" applyFill="1" applyBorder="1"/>
    <xf numFmtId="0" fontId="7" fillId="0" borderId="27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 applyProtection="1">
      <alignment horizontal="center" vertical="center" wrapText="1"/>
      <protection hidden="1"/>
    </xf>
    <xf numFmtId="0" fontId="12" fillId="6" borderId="32" xfId="0" applyFont="1" applyFill="1" applyBorder="1" applyAlignment="1" applyProtection="1">
      <alignment horizontal="center" vertical="center" wrapText="1"/>
      <protection hidden="1"/>
    </xf>
    <xf numFmtId="0" fontId="12" fillId="6" borderId="33" xfId="0" applyFont="1" applyFill="1" applyBorder="1" applyAlignment="1" applyProtection="1">
      <alignment horizontal="center" vertical="center" wrapText="1"/>
      <protection hidden="1"/>
    </xf>
    <xf numFmtId="0" fontId="12" fillId="6" borderId="46" xfId="0" applyFont="1" applyFill="1" applyBorder="1" applyAlignment="1" applyProtection="1">
      <alignment horizontal="center" vertical="center" wrapText="1"/>
      <protection hidden="1"/>
    </xf>
    <xf numFmtId="0" fontId="12" fillId="6" borderId="43" xfId="0" applyFont="1" applyFill="1" applyBorder="1" applyAlignment="1" applyProtection="1">
      <alignment horizontal="center" vertical="center" wrapText="1"/>
      <protection hidden="1"/>
    </xf>
    <xf numFmtId="0" fontId="7" fillId="3" borderId="10" xfId="0" applyFont="1" applyFill="1" applyBorder="1" applyAlignment="1">
      <alignment horizontal="left" vertical="top" wrapText="1"/>
    </xf>
    <xf numFmtId="0" fontId="7" fillId="3" borderId="32" xfId="0" applyFont="1" applyFill="1" applyBorder="1" applyAlignment="1">
      <alignment horizontal="left" vertical="top" wrapText="1"/>
    </xf>
    <xf numFmtId="0" fontId="7" fillId="3" borderId="33" xfId="0" applyFont="1" applyFill="1" applyBorder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0" fontId="7" fillId="3" borderId="36" xfId="0" applyFont="1" applyFill="1" applyBorder="1" applyAlignment="1">
      <alignment horizontal="left" vertical="top" wrapText="1"/>
    </xf>
    <xf numFmtId="0" fontId="7" fillId="3" borderId="38" xfId="0" applyFont="1" applyFill="1" applyBorder="1" applyAlignment="1">
      <alignment horizontal="left" vertical="top" wrapText="1"/>
    </xf>
    <xf numFmtId="0" fontId="7" fillId="3" borderId="20" xfId="0" applyFont="1" applyFill="1" applyBorder="1" applyAlignment="1">
      <alignment horizontal="left" vertical="top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vertical="center" wrapText="1"/>
    </xf>
    <xf numFmtId="0" fontId="7" fillId="3" borderId="10" xfId="0" applyFont="1" applyFill="1" applyBorder="1" applyAlignment="1">
      <alignment vertical="center" wrapText="1"/>
    </xf>
    <xf numFmtId="0" fontId="7" fillId="3" borderId="12" xfId="0" applyFont="1" applyFill="1" applyBorder="1" applyAlignment="1">
      <alignment vertical="center" wrapText="1"/>
    </xf>
    <xf numFmtId="0" fontId="7" fillId="3" borderId="13" xfId="0" applyFont="1" applyFill="1" applyBorder="1" applyAlignment="1">
      <alignment vertical="center" wrapText="1"/>
    </xf>
    <xf numFmtId="0" fontId="7" fillId="3" borderId="31" xfId="0" applyFont="1" applyFill="1" applyBorder="1" applyAlignment="1">
      <alignment horizontal="left" vertical="top" wrapText="1"/>
    </xf>
    <xf numFmtId="0" fontId="7" fillId="3" borderId="35" xfId="0" applyFont="1" applyFill="1" applyBorder="1" applyAlignment="1">
      <alignment horizontal="left" vertical="top" wrapText="1"/>
    </xf>
    <xf numFmtId="0" fontId="7" fillId="3" borderId="19" xfId="0" applyFont="1" applyFill="1" applyBorder="1" applyAlignment="1">
      <alignment horizontal="left" vertical="top" wrapText="1"/>
    </xf>
    <xf numFmtId="0" fontId="7" fillId="3" borderId="34" xfId="0" applyFont="1" applyFill="1" applyBorder="1" applyAlignment="1">
      <alignment horizontal="left" vertical="top" wrapText="1"/>
    </xf>
    <xf numFmtId="0" fontId="7" fillId="3" borderId="37" xfId="0" applyFont="1" applyFill="1" applyBorder="1" applyAlignment="1">
      <alignment horizontal="left" vertical="top" wrapText="1"/>
    </xf>
    <xf numFmtId="0" fontId="7" fillId="3" borderId="39" xfId="0" applyFont="1" applyFill="1" applyBorder="1" applyAlignment="1">
      <alignment horizontal="left" vertical="top" wrapText="1"/>
    </xf>
    <xf numFmtId="0" fontId="7" fillId="3" borderId="15" xfId="0" applyFont="1" applyFill="1" applyBorder="1" applyAlignment="1">
      <alignment horizontal="left" vertical="center" wrapText="1"/>
    </xf>
    <xf numFmtId="0" fontId="7" fillId="3" borderId="40" xfId="0" applyFont="1" applyFill="1" applyBorder="1" applyAlignment="1">
      <alignment horizontal="left" vertical="center" wrapText="1"/>
    </xf>
    <xf numFmtId="0" fontId="13" fillId="3" borderId="10" xfId="0" applyFont="1" applyFill="1" applyBorder="1" applyAlignment="1" applyProtection="1">
      <alignment horizontal="center" vertical="center" wrapText="1"/>
      <protection hidden="1"/>
    </xf>
    <xf numFmtId="0" fontId="8" fillId="0" borderId="17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35" xfId="0" applyFont="1" applyBorder="1" applyAlignment="1">
      <alignment horizontal="left" vertical="center" wrapText="1"/>
    </xf>
    <xf numFmtId="0" fontId="8" fillId="0" borderId="36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7" fillId="0" borderId="17" xfId="0" applyFont="1" applyBorder="1" applyAlignment="1">
      <alignment vertical="top" wrapText="1"/>
    </xf>
    <xf numFmtId="0" fontId="7" fillId="0" borderId="18" xfId="0" applyFont="1" applyBorder="1" applyAlignment="1">
      <alignment vertical="top" wrapText="1"/>
    </xf>
    <xf numFmtId="0" fontId="7" fillId="0" borderId="35" xfId="0" applyFont="1" applyBorder="1" applyAlignment="1">
      <alignment vertical="top" wrapText="1"/>
    </xf>
    <xf numFmtId="0" fontId="7" fillId="0" borderId="36" xfId="0" applyFont="1" applyBorder="1" applyAlignment="1">
      <alignment vertical="top" wrapText="1"/>
    </xf>
    <xf numFmtId="0" fontId="7" fillId="0" borderId="19" xfId="0" applyFont="1" applyBorder="1" applyAlignment="1">
      <alignment vertical="top" wrapText="1"/>
    </xf>
    <xf numFmtId="0" fontId="7" fillId="0" borderId="20" xfId="0" applyFont="1" applyBorder="1" applyAlignment="1">
      <alignment vertical="top" wrapText="1"/>
    </xf>
    <xf numFmtId="0" fontId="9" fillId="7" borderId="7" xfId="0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12" fillId="6" borderId="45" xfId="0" applyFont="1" applyFill="1" applyBorder="1" applyAlignment="1" applyProtection="1">
      <alignment horizontal="center" vertical="center" wrapText="1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0" fillId="4" borderId="10" xfId="0" applyFont="1" applyFill="1" applyBorder="1" applyAlignment="1">
      <alignment horizontal="center" vertical="center" wrapText="1"/>
    </xf>
    <xf numFmtId="0" fontId="13" fillId="0" borderId="7" xfId="0" applyFont="1" applyBorder="1" applyAlignment="1" applyProtection="1">
      <alignment horizontal="center" vertical="center" wrapText="1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0" fontId="7" fillId="0" borderId="16" xfId="0" applyFont="1" applyBorder="1" applyAlignment="1">
      <alignment vertical="top" wrapText="1"/>
    </xf>
    <xf numFmtId="0" fontId="7" fillId="0" borderId="41" xfId="0" applyFont="1" applyBorder="1" applyAlignment="1">
      <alignment vertical="top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47" xfId="0" applyFont="1" applyFill="1" applyBorder="1" applyAlignment="1">
      <alignment horizontal="center" vertical="center" wrapText="1"/>
    </xf>
    <xf numFmtId="0" fontId="6" fillId="2" borderId="38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 wrapText="1"/>
    </xf>
    <xf numFmtId="0" fontId="6" fillId="2" borderId="3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0" fillId="3" borderId="10" xfId="0" applyFill="1" applyBorder="1" applyAlignment="1">
      <alignment horizontal="center"/>
    </xf>
  </cellXfs>
  <cellStyles count="3">
    <cellStyle name="Normal" xfId="0" builtinId="0"/>
    <cellStyle name="Normal 2 4 3" xfId="1" xr:uid="{707F6A04-57DC-4545-97E3-88866E5B772B}"/>
    <cellStyle name="Normal 3 7" xfId="2" xr:uid="{EE0F8EDF-03C8-467C-83A9-11CA5C0BF7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microsoft.com/office/2022/10/relationships/richValueRel" Target="richData/richValueRel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266699</xdr:colOff>
      <xdr:row>40</xdr:row>
      <xdr:rowOff>301702</xdr:rowOff>
    </xdr:from>
    <xdr:to>
      <xdr:col>14</xdr:col>
      <xdr:colOff>838857</xdr:colOff>
      <xdr:row>42</xdr:row>
      <xdr:rowOff>28740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2F4820-14ED-C912-B963-2DCBDAEB7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20899" y="26514502"/>
          <a:ext cx="1419883" cy="3556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duardo_rodrigueza_unicafam_edu_co/Documents/Desktop/UA%20Desarrollo%20de%20Aplicaciones%20para%20Telecomunicacion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uber/Dropbox/Espacio%20familiar/UNIR/RA/Matriz%20Resultados%20de%20Aprendizaje%20Especializaci&#243;n%20GSS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23EED28/Formato%20UA%20Programa%20de%20Ingenieri&#769;a%20de%20Telecomunicacione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carlos_carrasco_unicafam_edu_co/Documents/En%20proceso/Plan%202023%20Circuitos%20electr&#243;nicos%20II%20V0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vicios/OneDrive%20-%20Fundaci&#243;n%20Universitaria%20Cafam/Santiago/UA%20guias/8.%20Octavo%20semestre%20UA%20Espec&#237;fic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UA"/>
      <sheetName val="Desarrollo Aplicaciones I"/>
      <sheetName val="Desarrollo Aplicaciones II"/>
    </sheetNames>
    <sheetDataSet>
      <sheetData sheetId="0">
        <row r="2">
          <cell r="B2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</row>
        <row r="3">
          <cell r="B3" t="str">
            <v>Aplicar los elementos conceptuales de la generación y gestión de proyectos asociados a plataformas, sistemas y servicios de las Tecnologías de la información y las Comunicaciones; entendiendo la necesidad de estos en el avance y consolidación de las organizaciones con criterios de optimización y generación de valor.</v>
          </cell>
        </row>
        <row r="4">
          <cell r="B4" t="str">
            <v xml:space="preserve">Analizar el funcionamiento de circuitos eléctricos y electrónicos de los sistemas de telecomunicaciones, y su configuración a través del desarrollo de programas informáticos para telecomunicaciones; teniendo en cuenta las metodologías de desarrollo de software, los estándares y normas técnicas, buscando la optimización de los recursos disponibles. </v>
          </cell>
        </row>
        <row r="5">
          <cell r="B5" t="str">
            <v xml:space="preserve"> </v>
          </cell>
        </row>
        <row r="6">
          <cell r="B6" t="str">
            <v>Comp5</v>
          </cell>
        </row>
        <row r="7">
          <cell r="B7" t="str">
            <v>Comp6</v>
          </cell>
        </row>
        <row r="8">
          <cell r="B8" t="str">
            <v>Comp7</v>
          </cell>
        </row>
        <row r="9">
          <cell r="B9" t="str">
            <v>Comp8</v>
          </cell>
        </row>
        <row r="10">
          <cell r="B10" t="str">
            <v>Comp9</v>
          </cell>
        </row>
        <row r="11">
          <cell r="B11" t="str">
            <v>Comp10</v>
          </cell>
        </row>
      </sheetData>
      <sheetData sheetId="1">
        <row r="2">
          <cell r="B2" t="str">
            <v>Desarrolla el diseño y la configuración de las redes de datos y sistemas telemáticos, teniendo en cuenta la arquitectura de red, estándares, modelos, marcos generales y necesidades de la organización.</v>
          </cell>
        </row>
        <row r="3">
          <cell r="B3" t="str">
            <v>Desarrolla el diseño y la configuración de los sistemas de radiocomunicaciones teniendo en cuenta la tecnología, estándares, modelos, normas y el marco regulatorio y legal de las telecomunicaciones.</v>
          </cell>
        </row>
        <row r="4">
          <cell r="B4" t="str">
            <v>Propone proyectos de Tecnologías de Información y de Comunicaciones (TIC), estructurando y armonizando elementos de calidad, eficiencia, economía y sustentabilidad.</v>
          </cell>
        </row>
        <row r="5">
          <cell r="B5" t="str">
            <v>Analiza el funcionamiento de circuitos eléctricos y electrónicos de los sistemas de radiocomunicaciones y redes de datos, y su configuración a través del desarrollo de programas informáticos para telecomunicaciones.</v>
          </cell>
        </row>
        <row r="6">
          <cell r="B6" t="str">
            <v xml:space="preserve"> </v>
          </cell>
        </row>
        <row r="7">
          <cell r="B7" t="str">
            <v>ResAp06</v>
          </cell>
        </row>
        <row r="8">
          <cell r="B8" t="str">
            <v>ResAp07</v>
          </cell>
        </row>
        <row r="9">
          <cell r="B9" t="str">
            <v>ResAp08</v>
          </cell>
        </row>
        <row r="10">
          <cell r="B10" t="str">
            <v>ResAp09</v>
          </cell>
        </row>
        <row r="11">
          <cell r="B11" t="str">
            <v>ResAp10</v>
          </cell>
        </row>
      </sheetData>
      <sheetData sheetId="2">
        <row r="2">
          <cell r="B2" t="str">
            <v>Fundamentos de Redes de Datos</v>
          </cell>
        </row>
      </sheetData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íz de RA"/>
      <sheetName val="Taxonomias "/>
      <sheetName val="RA"/>
      <sheetName val="Códigos 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UA"/>
      <sheetName val="Algoritmos y Programación"/>
      <sheetName val="Programación Avanzada"/>
      <sheetName val="DesarrolloAplicaciones I"/>
      <sheetName val="DesarrolloAplicaciones II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Recursos"/>
      <sheetName val="MaestroNombreUA"/>
      <sheetName val="MaestroUA"/>
      <sheetName val="Hoja1"/>
    </sheetNames>
    <sheetDataSet>
      <sheetData sheetId="0"/>
      <sheetData sheetId="1"/>
      <sheetData sheetId="2">
        <row r="2">
          <cell r="B2"/>
        </row>
        <row r="3">
          <cell r="B3" t="str">
            <v>Acceso a Internet</v>
          </cell>
        </row>
        <row r="4">
          <cell r="B4" t="str">
            <v>Aula tradicional / (Tablero acrílico / Proyector / Otros)</v>
          </cell>
        </row>
        <row r="5">
          <cell r="B5" t="str">
            <v>Aula virtual / Acceso (MOODLE / CHAT / EMAIL / INTERNET / Otros)</v>
          </cell>
        </row>
        <row r="6">
          <cell r="B6" t="str">
            <v>Computador (escritorio / portátil)</v>
          </cell>
        </row>
        <row r="7">
          <cell r="B7" t="str">
            <v>Computador / Software automatización del diseño electrónico - EDA (Opciones: PROTEUS / MULTISIM / Otros)</v>
          </cell>
        </row>
        <row r="8">
          <cell r="B8" t="str">
            <v>Computador / Software compilador de código C# (Opciones: ECLIPSE / Otros)</v>
          </cell>
        </row>
        <row r="9">
          <cell r="B9" t="str">
            <v>Computador / Software creación y gestión mapas conceptuales (Opciones: CMAP / Otros)</v>
          </cell>
        </row>
        <row r="10">
          <cell r="B10" t="str">
            <v>Computador / Software Diagramas de Flujo de Datos (Opciones: DFD / VISIO / Otros)</v>
          </cell>
        </row>
        <row r="11">
          <cell r="B11" t="str">
            <v>Computador / Software editor de código (Opciones: NOTEPAD++ / VISUAL STUDIO / Otros)</v>
          </cell>
        </row>
        <row r="12">
          <cell r="B12" t="str">
            <v>Computador / Software hoja de cálculo (EXCEL / OPEN OFFICE / Otros)</v>
          </cell>
        </row>
        <row r="13">
          <cell r="B13" t="str">
            <v>Computador / Software para Diseño Asistido por Computador - CAD (Opciones: AUTOCAD / RHINOCEROS / SOLID WORKS / Otros)</v>
          </cell>
        </row>
        <row r="14">
          <cell r="B14" t="str">
            <v>Computador / Software procesador de texto (Opciones: WORD / LATEX / Otros)</v>
          </cell>
        </row>
        <row r="15">
          <cell r="B15" t="str">
            <v>Computador / Software procesamiento datos estadísticos (Opciones: MINITAB / R / Otros)</v>
          </cell>
        </row>
        <row r="16">
          <cell r="B16" t="str">
            <v>Computador / Software programación gráfica (Opciones: LABVIEW / SIMULINK / Otros)</v>
          </cell>
        </row>
        <row r="17">
          <cell r="B17" t="str">
            <v>Computador / Software simulación dispositivos electrónicos (Opciones: THINKERCAD / Otros)</v>
          </cell>
        </row>
        <row r="18">
          <cell r="B18" t="str">
            <v>Computador / Software simulación electromagnética (Opciones: MEEP-FDTD / FEKO / Otros)</v>
          </cell>
        </row>
        <row r="19">
          <cell r="B19" t="str">
            <v>Computador / Software simulación matemática (Opciones: MATLAB / SCILAB / OCTAVE / DERIVE / MATHCAD / Otros)</v>
          </cell>
        </row>
        <row r="20">
          <cell r="B20" t="str">
            <v>Computador / Software simulación procesos industriales (Opciones: FLEXIM / Otros)</v>
          </cell>
        </row>
        <row r="21">
          <cell r="B21" t="str">
            <v>Computador / Software simulador gráfico de red (Opciones: PACKET TRACER / GNS3 / Otros)</v>
          </cell>
        </row>
        <row r="22">
          <cell r="B22" t="str">
            <v>Laboratorio / Equipos de medición eléctrica (MULTÌMETRO / OSCILOSCOPIO / ANALIZAR ESPECTRO / Otros)</v>
          </cell>
        </row>
        <row r="23">
          <cell r="B23" t="str">
            <v>Laboratorio / Equipos de redes de telecomunicaciones</v>
          </cell>
        </row>
        <row r="24">
          <cell r="B24" t="str">
            <v>Laboratorio / Equipos fuente de energía (Generador sencillo / Generador dual / Generador de funciones)</v>
          </cell>
        </row>
        <row r="25">
          <cell r="B25" t="str">
            <v>Laboratorio / Herramienta para electricidad y electrónica (Alicate, Pinza, Destornillador, Cautín)</v>
          </cell>
        </row>
        <row r="26">
          <cell r="B26" t="str">
            <v>Laboratorio dispositivos de redes (SWITCH / ROUTER / TRANSCEIVER / MODEM / HUB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0</v>
          </cell>
        </row>
        <row r="40">
          <cell r="B40">
            <v>0</v>
          </cell>
        </row>
        <row r="41">
          <cell r="B41">
            <v>0</v>
          </cell>
        </row>
        <row r="42">
          <cell r="B42">
            <v>0</v>
          </cell>
        </row>
        <row r="43">
          <cell r="B43">
            <v>0</v>
          </cell>
        </row>
        <row r="44">
          <cell r="B44">
            <v>0</v>
          </cell>
        </row>
        <row r="45">
          <cell r="B45">
            <v>0</v>
          </cell>
        </row>
        <row r="46">
          <cell r="B46">
            <v>0</v>
          </cell>
        </row>
        <row r="47">
          <cell r="B47">
            <v>0</v>
          </cell>
        </row>
        <row r="48">
          <cell r="B48">
            <v>0</v>
          </cell>
        </row>
        <row r="49">
          <cell r="B49">
            <v>0</v>
          </cell>
        </row>
        <row r="50">
          <cell r="B50">
            <v>0</v>
          </cell>
        </row>
        <row r="51">
          <cell r="B51">
            <v>0</v>
          </cell>
        </row>
        <row r="52">
          <cell r="B52">
            <v>0</v>
          </cell>
        </row>
        <row r="53">
          <cell r="B53">
            <v>0</v>
          </cell>
        </row>
        <row r="54">
          <cell r="B54">
            <v>0</v>
          </cell>
        </row>
        <row r="55">
          <cell r="B55">
            <v>0</v>
          </cell>
        </row>
        <row r="56">
          <cell r="B56">
            <v>0</v>
          </cell>
        </row>
        <row r="57">
          <cell r="B57">
            <v>0</v>
          </cell>
        </row>
        <row r="58">
          <cell r="B58">
            <v>0</v>
          </cell>
        </row>
        <row r="59">
          <cell r="B59">
            <v>0</v>
          </cell>
        </row>
        <row r="60">
          <cell r="B60">
            <v>0</v>
          </cell>
        </row>
        <row r="61">
          <cell r="B61">
            <v>0</v>
          </cell>
        </row>
        <row r="62">
          <cell r="B62">
            <v>0</v>
          </cell>
        </row>
        <row r="63">
          <cell r="B63">
            <v>0</v>
          </cell>
        </row>
        <row r="64">
          <cell r="B64">
            <v>0</v>
          </cell>
        </row>
        <row r="65">
          <cell r="B65">
            <v>0</v>
          </cell>
        </row>
        <row r="66">
          <cell r="B66">
            <v>0</v>
          </cell>
        </row>
        <row r="67">
          <cell r="B67">
            <v>0</v>
          </cell>
        </row>
        <row r="68">
          <cell r="B68">
            <v>0</v>
          </cell>
        </row>
        <row r="69">
          <cell r="B69">
            <v>0</v>
          </cell>
        </row>
        <row r="70">
          <cell r="B70">
            <v>0</v>
          </cell>
        </row>
        <row r="71">
          <cell r="B71">
            <v>0</v>
          </cell>
        </row>
        <row r="72">
          <cell r="B72">
            <v>0</v>
          </cell>
        </row>
        <row r="73">
          <cell r="B73">
            <v>0</v>
          </cell>
        </row>
        <row r="74">
          <cell r="B74">
            <v>0</v>
          </cell>
        </row>
        <row r="75">
          <cell r="B75">
            <v>0</v>
          </cell>
        </row>
        <row r="76">
          <cell r="B76">
            <v>0</v>
          </cell>
        </row>
        <row r="77">
          <cell r="B77">
            <v>0</v>
          </cell>
        </row>
        <row r="78">
          <cell r="B78">
            <v>0</v>
          </cell>
        </row>
        <row r="79">
          <cell r="B79">
            <v>0</v>
          </cell>
        </row>
        <row r="80">
          <cell r="B80">
            <v>0</v>
          </cell>
        </row>
        <row r="81">
          <cell r="B81">
            <v>0</v>
          </cell>
        </row>
        <row r="82">
          <cell r="B82">
            <v>0</v>
          </cell>
        </row>
        <row r="83">
          <cell r="B83">
            <v>0</v>
          </cell>
        </row>
        <row r="84">
          <cell r="B84">
            <v>0</v>
          </cell>
        </row>
        <row r="85">
          <cell r="B85">
            <v>0</v>
          </cell>
        </row>
        <row r="86">
          <cell r="B86">
            <v>0</v>
          </cell>
        </row>
        <row r="87">
          <cell r="B87">
            <v>0</v>
          </cell>
        </row>
        <row r="88">
          <cell r="B88">
            <v>0</v>
          </cell>
        </row>
        <row r="89">
          <cell r="B89">
            <v>0</v>
          </cell>
        </row>
        <row r="90">
          <cell r="B90">
            <v>0</v>
          </cell>
        </row>
        <row r="91">
          <cell r="B91">
            <v>0</v>
          </cell>
        </row>
        <row r="92">
          <cell r="B92">
            <v>0</v>
          </cell>
        </row>
        <row r="93">
          <cell r="B93">
            <v>0</v>
          </cell>
        </row>
        <row r="94">
          <cell r="B94">
            <v>0</v>
          </cell>
        </row>
        <row r="95">
          <cell r="B95">
            <v>0</v>
          </cell>
        </row>
        <row r="96">
          <cell r="B96">
            <v>0</v>
          </cell>
        </row>
        <row r="97">
          <cell r="B97">
            <v>0</v>
          </cell>
        </row>
        <row r="98">
          <cell r="B98">
            <v>0</v>
          </cell>
        </row>
        <row r="99">
          <cell r="B99">
            <v>0</v>
          </cell>
        </row>
        <row r="100">
          <cell r="B100">
            <v>0</v>
          </cell>
        </row>
        <row r="101">
          <cell r="B101">
            <v>0</v>
          </cell>
        </row>
        <row r="102">
          <cell r="B102">
            <v>0</v>
          </cell>
        </row>
      </sheetData>
      <sheetData sheetId="3"/>
      <sheetData sheetId="4">
        <row r="2">
          <cell r="B2" t="str">
            <v>Fundamentos de Redes de Datos</v>
          </cell>
        </row>
      </sheetData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df"/>
      <sheetName val="Producción limpia"/>
      <sheetName val="Desarrollo de productos y servi"/>
      <sheetName val="Logística integral "/>
      <sheetName val="Practica profesional II"/>
    </sheetNames>
    <sheetDataSet>
      <sheetData sheetId="0"/>
      <sheetData sheetId="1"/>
      <sheetData sheetId="2"/>
      <sheetData sheetId="3"/>
      <sheetData sheetId="4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34E90-01B2-4583-BAEE-4C6E586E6075}">
  <sheetPr>
    <tabColor theme="8"/>
  </sheetPr>
  <dimension ref="B2:O48"/>
  <sheetViews>
    <sheetView tabSelected="1" workbookViewId="0">
      <selection activeCell="D23" sqref="D23"/>
    </sheetView>
  </sheetViews>
  <sheetFormatPr baseColWidth="10" defaultColWidth="10.85546875" defaultRowHeight="15" x14ac:dyDescent="0.25"/>
  <cols>
    <col min="1" max="1" width="5.7109375" style="3" customWidth="1"/>
    <col min="2" max="6" width="24.7109375" style="3" customWidth="1"/>
    <col min="7" max="14" width="12.7109375" style="3" customWidth="1"/>
    <col min="15" max="15" width="24.7109375" style="3" customWidth="1"/>
    <col min="16" max="16" width="5.85546875" style="3" customWidth="1"/>
    <col min="17" max="17" width="10.85546875" style="3"/>
    <col min="18" max="18" width="14" style="3" customWidth="1"/>
    <col min="19" max="16384" width="10.85546875" style="3"/>
  </cols>
  <sheetData>
    <row r="2" spans="2:15" ht="25.5" customHeight="1" x14ac:dyDescent="0.25">
      <c r="B2" s="126" t="e" vm="1">
        <v>#VALUE!</v>
      </c>
      <c r="C2" s="93" t="s">
        <v>0</v>
      </c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</row>
    <row r="3" spans="2:15" ht="24" customHeight="1" x14ac:dyDescent="0.25">
      <c r="B3" s="126"/>
      <c r="C3" s="127" t="s">
        <v>1</v>
      </c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</row>
    <row r="4" spans="2:15" ht="24" customHeight="1" x14ac:dyDescent="0.25">
      <c r="B4" s="126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</row>
    <row r="5" spans="2:15" ht="20.100000000000001" customHeight="1" x14ac:dyDescent="0.25">
      <c r="B5" s="2" t="s">
        <v>2</v>
      </c>
      <c r="C5" s="1" t="s">
        <v>3</v>
      </c>
      <c r="D5" s="93" t="s">
        <v>4</v>
      </c>
      <c r="E5" s="93"/>
      <c r="F5" s="93"/>
      <c r="G5" s="1">
        <v>1</v>
      </c>
      <c r="H5" s="93" t="s">
        <v>5</v>
      </c>
      <c r="I5" s="93"/>
      <c r="J5" s="93"/>
      <c r="K5" s="128"/>
      <c r="L5" s="128"/>
      <c r="M5" s="93" t="s">
        <v>6</v>
      </c>
      <c r="N5" s="93"/>
      <c r="O5" s="1" t="s">
        <v>7</v>
      </c>
    </row>
    <row r="6" spans="2:15" ht="20.100000000000001" customHeight="1" x14ac:dyDescent="0.25"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</row>
    <row r="7" spans="2:15" ht="20.100000000000001" customHeight="1" thickBot="1" x14ac:dyDescent="0.3">
      <c r="B7" s="112" t="s">
        <v>8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</row>
    <row r="8" spans="2:15" ht="30" customHeight="1" x14ac:dyDescent="0.25">
      <c r="B8" s="4" t="s">
        <v>9</v>
      </c>
      <c r="C8" s="113" t="s">
        <v>10</v>
      </c>
      <c r="D8" s="114"/>
      <c r="E8" s="114"/>
      <c r="F8" s="115"/>
      <c r="G8" s="5" t="s">
        <v>11</v>
      </c>
      <c r="H8" s="121">
        <v>3</v>
      </c>
      <c r="I8" s="122"/>
      <c r="J8" s="25" t="s">
        <v>12</v>
      </c>
      <c r="K8" s="29">
        <f>H8*16</f>
        <v>48</v>
      </c>
      <c r="L8" s="30" t="s">
        <v>13</v>
      </c>
      <c r="M8" s="29">
        <f>K8*2</f>
        <v>96</v>
      </c>
      <c r="N8" s="5" t="s">
        <v>14</v>
      </c>
      <c r="O8" s="6" t="s">
        <v>93</v>
      </c>
    </row>
    <row r="9" spans="2:15" ht="30" customHeight="1" x14ac:dyDescent="0.25">
      <c r="B9" s="7" t="s">
        <v>15</v>
      </c>
      <c r="C9" s="123" t="s">
        <v>16</v>
      </c>
      <c r="D9" s="124"/>
      <c r="E9" s="124"/>
      <c r="F9" s="124"/>
      <c r="G9" s="124"/>
      <c r="H9" s="124"/>
      <c r="I9" s="125"/>
      <c r="J9" s="8" t="s">
        <v>17</v>
      </c>
      <c r="K9" s="116" t="s">
        <v>18</v>
      </c>
      <c r="L9" s="117"/>
      <c r="M9" s="118"/>
      <c r="N9" s="8" t="s">
        <v>19</v>
      </c>
      <c r="O9" s="24">
        <v>14029020101</v>
      </c>
    </row>
    <row r="10" spans="2:15" ht="30" customHeight="1" thickBot="1" x14ac:dyDescent="0.3">
      <c r="B10" s="9" t="s">
        <v>20</v>
      </c>
      <c r="C10" s="119" t="s">
        <v>21</v>
      </c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23"/>
    </row>
    <row r="11" spans="2:15" ht="55.5" customHeight="1" thickBot="1" x14ac:dyDescent="0.3">
      <c r="B11" s="10" t="s">
        <v>22</v>
      </c>
      <c r="C11" s="33" t="s">
        <v>23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4"/>
    </row>
    <row r="12" spans="2:15" ht="30" customHeight="1" x14ac:dyDescent="0.25">
      <c r="B12" s="35" t="s">
        <v>24</v>
      </c>
      <c r="C12" s="36"/>
      <c r="D12" s="37" t="s">
        <v>25</v>
      </c>
      <c r="E12" s="38"/>
      <c r="F12" s="38"/>
      <c r="G12" s="36"/>
      <c r="H12" s="37" t="s">
        <v>26</v>
      </c>
      <c r="I12" s="38"/>
      <c r="J12" s="38"/>
      <c r="K12" s="38" t="s">
        <v>27</v>
      </c>
      <c r="L12" s="38"/>
      <c r="M12" s="36"/>
      <c r="N12" s="37" t="s">
        <v>28</v>
      </c>
      <c r="O12" s="39"/>
    </row>
    <row r="13" spans="2:15" ht="123" customHeight="1" x14ac:dyDescent="0.25">
      <c r="B13" s="58" t="s">
        <v>29</v>
      </c>
      <c r="C13" s="59"/>
      <c r="D13" s="62" t="s">
        <v>30</v>
      </c>
      <c r="E13" s="46"/>
      <c r="F13" s="46"/>
      <c r="G13" s="47"/>
      <c r="H13" s="45" t="s">
        <v>31</v>
      </c>
      <c r="I13" s="45"/>
      <c r="J13" s="45"/>
      <c r="K13" s="46" t="s">
        <v>32</v>
      </c>
      <c r="L13" s="46"/>
      <c r="M13" s="47"/>
      <c r="N13" s="62" t="s">
        <v>33</v>
      </c>
      <c r="O13" s="65"/>
    </row>
    <row r="14" spans="2:15" ht="90.75" customHeight="1" x14ac:dyDescent="0.25">
      <c r="B14" s="58"/>
      <c r="C14" s="59"/>
      <c r="D14" s="63"/>
      <c r="E14" s="48"/>
      <c r="F14" s="48"/>
      <c r="G14" s="49"/>
      <c r="H14" s="45"/>
      <c r="I14" s="45"/>
      <c r="J14" s="45"/>
      <c r="K14" s="48"/>
      <c r="L14" s="48"/>
      <c r="M14" s="49"/>
      <c r="N14" s="63"/>
      <c r="O14" s="66"/>
    </row>
    <row r="15" spans="2:15" ht="94.5" customHeight="1" x14ac:dyDescent="0.25">
      <c r="B15" s="58"/>
      <c r="C15" s="59"/>
      <c r="D15" s="63"/>
      <c r="E15" s="48"/>
      <c r="F15" s="48"/>
      <c r="G15" s="49"/>
      <c r="H15" s="45"/>
      <c r="I15" s="45"/>
      <c r="J15" s="45"/>
      <c r="K15" s="48"/>
      <c r="L15" s="48"/>
      <c r="M15" s="49"/>
      <c r="N15" s="63"/>
      <c r="O15" s="66"/>
    </row>
    <row r="16" spans="2:15" ht="81.75" customHeight="1" thickBot="1" x14ac:dyDescent="0.3">
      <c r="B16" s="60"/>
      <c r="C16" s="61"/>
      <c r="D16" s="64"/>
      <c r="E16" s="50"/>
      <c r="F16" s="50"/>
      <c r="G16" s="51"/>
      <c r="H16" s="45"/>
      <c r="I16" s="45"/>
      <c r="J16" s="45"/>
      <c r="K16" s="50"/>
      <c r="L16" s="50"/>
      <c r="M16" s="51"/>
      <c r="N16" s="64"/>
      <c r="O16" s="67"/>
    </row>
    <row r="17" spans="2:15" ht="30" customHeight="1" x14ac:dyDescent="0.25">
      <c r="B17" s="99" t="s">
        <v>34</v>
      </c>
      <c r="C17" s="101" t="s">
        <v>35</v>
      </c>
      <c r="D17" s="37" t="s">
        <v>36</v>
      </c>
      <c r="E17" s="38"/>
      <c r="F17" s="36"/>
      <c r="G17" s="105" t="s">
        <v>37</v>
      </c>
      <c r="H17" s="106"/>
      <c r="I17" s="109" t="s">
        <v>38</v>
      </c>
      <c r="J17" s="110"/>
      <c r="K17" s="52" t="s">
        <v>39</v>
      </c>
      <c r="L17" s="103"/>
      <c r="M17" s="52" t="s">
        <v>40</v>
      </c>
      <c r="N17" s="53"/>
      <c r="O17" s="56" t="s">
        <v>41</v>
      </c>
    </row>
    <row r="18" spans="2:15" ht="15" customHeight="1" thickBot="1" x14ac:dyDescent="0.3">
      <c r="B18" s="100"/>
      <c r="C18" s="102"/>
      <c r="D18" s="13" t="s">
        <v>42</v>
      </c>
      <c r="E18" s="13" t="s">
        <v>43</v>
      </c>
      <c r="F18" s="13" t="s">
        <v>44</v>
      </c>
      <c r="G18" s="107"/>
      <c r="H18" s="108"/>
      <c r="I18" s="54"/>
      <c r="J18" s="55"/>
      <c r="K18" s="54"/>
      <c r="L18" s="104"/>
      <c r="M18" s="54"/>
      <c r="N18" s="55"/>
      <c r="O18" s="57"/>
    </row>
    <row r="19" spans="2:15" ht="99.75" customHeight="1" x14ac:dyDescent="0.25">
      <c r="B19" s="68" t="s">
        <v>45</v>
      </c>
      <c r="C19" s="26" t="s">
        <v>46</v>
      </c>
      <c r="D19" s="26" t="s">
        <v>47</v>
      </c>
      <c r="E19" s="26" t="s">
        <v>48</v>
      </c>
      <c r="F19" s="26" t="s">
        <v>49</v>
      </c>
      <c r="G19" s="71" t="s">
        <v>50</v>
      </c>
      <c r="H19" s="72"/>
      <c r="I19" s="77" t="s">
        <v>51</v>
      </c>
      <c r="J19" s="78"/>
      <c r="K19" s="77" t="s">
        <v>52</v>
      </c>
      <c r="L19" s="78"/>
      <c r="M19" s="77" t="s">
        <v>53</v>
      </c>
      <c r="N19" s="78"/>
      <c r="O19" s="97" t="s">
        <v>54</v>
      </c>
    </row>
    <row r="20" spans="2:15" ht="121.5" customHeight="1" x14ac:dyDescent="0.25">
      <c r="B20" s="68"/>
      <c r="C20" s="27" t="s">
        <v>55</v>
      </c>
      <c r="D20" s="27" t="s">
        <v>55</v>
      </c>
      <c r="E20" s="27" t="s">
        <v>56</v>
      </c>
      <c r="F20" s="27" t="s">
        <v>57</v>
      </c>
      <c r="G20" s="73"/>
      <c r="H20" s="74"/>
      <c r="I20" s="79"/>
      <c r="J20" s="80"/>
      <c r="K20" s="79"/>
      <c r="L20" s="80"/>
      <c r="M20" s="79"/>
      <c r="N20" s="80"/>
      <c r="O20" s="97"/>
    </row>
    <row r="21" spans="2:15" ht="183.75" customHeight="1" x14ac:dyDescent="0.25">
      <c r="B21" s="68"/>
      <c r="C21" s="27" t="s">
        <v>58</v>
      </c>
      <c r="D21" s="27" t="s">
        <v>59</v>
      </c>
      <c r="E21" s="27" t="s">
        <v>60</v>
      </c>
      <c r="F21" s="27" t="s">
        <v>61</v>
      </c>
      <c r="G21" s="73"/>
      <c r="H21" s="74"/>
      <c r="I21" s="79"/>
      <c r="J21" s="80"/>
      <c r="K21" s="79"/>
      <c r="L21" s="80"/>
      <c r="M21" s="79"/>
      <c r="N21" s="80"/>
      <c r="O21" s="97"/>
    </row>
    <row r="22" spans="2:15" ht="146.25" customHeight="1" x14ac:dyDescent="0.25">
      <c r="B22" s="68"/>
      <c r="C22" s="27" t="s">
        <v>62</v>
      </c>
      <c r="D22" s="27" t="s">
        <v>63</v>
      </c>
      <c r="E22" s="27" t="s">
        <v>64</v>
      </c>
      <c r="F22" s="27" t="s">
        <v>65</v>
      </c>
      <c r="G22" s="73"/>
      <c r="H22" s="74"/>
      <c r="I22" s="79"/>
      <c r="J22" s="80"/>
      <c r="K22" s="79"/>
      <c r="L22" s="80"/>
      <c r="M22" s="79"/>
      <c r="N22" s="80"/>
      <c r="O22" s="97"/>
    </row>
    <row r="23" spans="2:15" ht="300" customHeight="1" thickBot="1" x14ac:dyDescent="0.3">
      <c r="B23" s="69"/>
      <c r="C23" s="28" t="s">
        <v>66</v>
      </c>
      <c r="D23" s="28" t="s">
        <v>67</v>
      </c>
      <c r="E23" s="28" t="s">
        <v>68</v>
      </c>
      <c r="F23" s="28" t="s">
        <v>69</v>
      </c>
      <c r="G23" s="75"/>
      <c r="H23" s="76"/>
      <c r="I23" s="81"/>
      <c r="J23" s="82"/>
      <c r="K23" s="81"/>
      <c r="L23" s="82"/>
      <c r="M23" s="81"/>
      <c r="N23" s="82"/>
      <c r="O23" s="98"/>
    </row>
    <row r="24" spans="2:15" ht="15.75" hidden="1" thickBot="1" x14ac:dyDescent="0.3">
      <c r="B24" s="14"/>
      <c r="C24" s="15"/>
      <c r="D24" s="16"/>
      <c r="E24" s="16"/>
      <c r="F24" s="16"/>
      <c r="G24" s="16"/>
      <c r="H24" s="16"/>
      <c r="I24" s="16"/>
      <c r="J24"/>
      <c r="K24"/>
      <c r="L24"/>
      <c r="M24"/>
      <c r="N24"/>
      <c r="O24" s="17"/>
    </row>
    <row r="25" spans="2:15" ht="15.75" hidden="1" thickBot="1" x14ac:dyDescent="0.3">
      <c r="B25" s="14"/>
      <c r="C25" s="15"/>
      <c r="D25" s="16"/>
      <c r="E25" s="16"/>
      <c r="F25" s="16"/>
      <c r="G25" s="16"/>
      <c r="H25" s="16"/>
      <c r="I25" s="16"/>
      <c r="J25"/>
      <c r="K25"/>
      <c r="L25"/>
      <c r="M25"/>
      <c r="N25"/>
      <c r="O25" s="17"/>
    </row>
    <row r="26" spans="2:15" ht="15.75" hidden="1" thickBot="1" x14ac:dyDescent="0.3">
      <c r="B26" s="14"/>
      <c r="C26" s="15"/>
      <c r="D26" s="16"/>
      <c r="E26" s="16"/>
      <c r="F26" s="16"/>
      <c r="G26" s="16"/>
      <c r="H26" s="16"/>
      <c r="I26" s="16"/>
      <c r="J26"/>
      <c r="K26"/>
      <c r="L26"/>
      <c r="M26"/>
      <c r="N26"/>
      <c r="O26" s="17"/>
    </row>
    <row r="27" spans="2:15" ht="15.75" hidden="1" thickBot="1" x14ac:dyDescent="0.3">
      <c r="B27" s="14"/>
      <c r="C27" s="15"/>
      <c r="D27" s="16"/>
      <c r="E27" s="16"/>
      <c r="F27" s="16"/>
      <c r="G27" s="16"/>
      <c r="H27" s="16"/>
      <c r="I27" s="16"/>
      <c r="J27"/>
      <c r="K27"/>
      <c r="L27"/>
      <c r="M27"/>
      <c r="N27"/>
      <c r="O27" s="17"/>
    </row>
    <row r="28" spans="2:15" ht="15.75" hidden="1" thickBot="1" x14ac:dyDescent="0.3">
      <c r="B28" s="14"/>
      <c r="C28" s="15"/>
      <c r="D28" s="16"/>
      <c r="E28" s="16"/>
      <c r="F28" s="16"/>
      <c r="G28" s="16"/>
      <c r="H28" s="16"/>
      <c r="I28" s="16"/>
      <c r="J28"/>
      <c r="K28"/>
      <c r="L28"/>
      <c r="M28"/>
      <c r="N28"/>
      <c r="O28" s="17"/>
    </row>
    <row r="29" spans="2:15" ht="15.75" hidden="1" thickBot="1" x14ac:dyDescent="0.3">
      <c r="B29" s="14"/>
      <c r="C29" s="15"/>
      <c r="D29" s="16"/>
      <c r="E29" s="16"/>
      <c r="F29" s="16"/>
      <c r="G29" s="16"/>
      <c r="H29" s="16"/>
      <c r="I29" s="16"/>
      <c r="J29"/>
      <c r="K29"/>
      <c r="L29"/>
      <c r="M29"/>
      <c r="N29"/>
      <c r="O29" s="17"/>
    </row>
    <row r="30" spans="2:15" ht="15.75" hidden="1" thickBot="1" x14ac:dyDescent="0.3">
      <c r="B30" s="18"/>
      <c r="C30" s="19"/>
      <c r="D30" s="16"/>
      <c r="E30" s="16"/>
      <c r="F30" s="16"/>
      <c r="G30" s="16"/>
      <c r="H30" s="16"/>
      <c r="I30" s="16"/>
      <c r="J30"/>
      <c r="K30"/>
      <c r="L30"/>
      <c r="M30"/>
      <c r="N30"/>
      <c r="O30" s="17"/>
    </row>
    <row r="31" spans="2:15" ht="141.75" customHeight="1" x14ac:dyDescent="0.25">
      <c r="B31" s="11" t="s">
        <v>70</v>
      </c>
      <c r="C31" s="86" t="s">
        <v>71</v>
      </c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8"/>
    </row>
    <row r="32" spans="2:15" ht="111" customHeight="1" thickBot="1" x14ac:dyDescent="0.3">
      <c r="B32" s="12" t="s">
        <v>72</v>
      </c>
      <c r="C32" s="89" t="s">
        <v>73</v>
      </c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90"/>
    </row>
    <row r="34" spans="2:15" ht="24.75" customHeight="1" x14ac:dyDescent="0.25">
      <c r="B34" s="91" t="s">
        <v>74</v>
      </c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</row>
    <row r="35" spans="2:15" ht="24.75" customHeight="1" x14ac:dyDescent="0.25">
      <c r="B35" s="40" t="s">
        <v>4</v>
      </c>
      <c r="C35" s="40"/>
      <c r="D35" s="40" t="s">
        <v>75</v>
      </c>
      <c r="E35" s="40"/>
      <c r="F35" s="40"/>
      <c r="G35" s="41" t="s">
        <v>76</v>
      </c>
      <c r="H35" s="41"/>
      <c r="I35" s="41"/>
      <c r="J35" s="41"/>
      <c r="K35" s="41"/>
      <c r="L35" s="41"/>
      <c r="M35" s="41"/>
      <c r="N35" s="41"/>
      <c r="O35" s="42"/>
    </row>
    <row r="36" spans="2:15" ht="24.75" customHeight="1" x14ac:dyDescent="0.25">
      <c r="B36" s="40"/>
      <c r="C36" s="40"/>
      <c r="D36" s="20" t="s">
        <v>77</v>
      </c>
      <c r="E36" s="31" t="s">
        <v>78</v>
      </c>
      <c r="F36" s="31" t="s">
        <v>79</v>
      </c>
      <c r="G36" s="43"/>
      <c r="H36" s="43"/>
      <c r="I36" s="43"/>
      <c r="J36" s="43"/>
      <c r="K36" s="43"/>
      <c r="L36" s="43"/>
      <c r="M36" s="43"/>
      <c r="N36" s="43"/>
      <c r="O36" s="44"/>
    </row>
    <row r="37" spans="2:15" ht="39" customHeight="1" x14ac:dyDescent="0.25">
      <c r="B37" s="92">
        <v>2</v>
      </c>
      <c r="C37" s="92"/>
      <c r="D37" s="21"/>
      <c r="E37" s="21"/>
      <c r="F37" s="32"/>
      <c r="G37" s="94" t="s">
        <v>80</v>
      </c>
      <c r="H37" s="95"/>
      <c r="I37" s="95"/>
      <c r="J37" s="95"/>
      <c r="K37" s="95"/>
      <c r="L37" s="95"/>
      <c r="M37" s="95"/>
      <c r="N37" s="95"/>
      <c r="O37" s="96"/>
    </row>
    <row r="38" spans="2:15" ht="24.75" customHeight="1" x14ac:dyDescent="0.25">
      <c r="B38" s="22"/>
      <c r="G38" s="22"/>
      <c r="H38" s="22"/>
      <c r="I38" s="22"/>
    </row>
    <row r="39" spans="2:15" ht="24.75" customHeight="1" x14ac:dyDescent="0.25">
      <c r="B39" s="93" t="s">
        <v>81</v>
      </c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</row>
    <row r="40" spans="2:15" ht="24.75" customHeight="1" x14ac:dyDescent="0.25">
      <c r="B40" s="93" t="s">
        <v>82</v>
      </c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</row>
    <row r="41" spans="2:15" ht="24.75" customHeight="1" x14ac:dyDescent="0.25">
      <c r="B41" s="40" t="s">
        <v>83</v>
      </c>
      <c r="C41" s="40"/>
      <c r="D41" s="40"/>
      <c r="E41" s="40"/>
      <c r="F41" s="40"/>
      <c r="G41" s="40"/>
      <c r="H41" s="40" t="s">
        <v>84</v>
      </c>
      <c r="I41" s="40"/>
      <c r="J41" s="40"/>
      <c r="K41" s="40"/>
      <c r="L41" s="40"/>
      <c r="M41" s="40" t="s">
        <v>85</v>
      </c>
      <c r="N41" s="40"/>
      <c r="O41" s="40"/>
    </row>
    <row r="42" spans="2:15" ht="24.75" customHeight="1" x14ac:dyDescent="0.25">
      <c r="B42" s="70" t="s">
        <v>86</v>
      </c>
      <c r="C42" s="70"/>
      <c r="D42" s="70"/>
      <c r="E42" s="70"/>
      <c r="F42" s="70"/>
      <c r="G42" s="70"/>
      <c r="H42" s="70" t="s">
        <v>87</v>
      </c>
      <c r="I42" s="70"/>
      <c r="J42" s="70"/>
      <c r="K42" s="70"/>
      <c r="L42" s="70"/>
      <c r="M42" s="70"/>
      <c r="N42" s="70"/>
      <c r="O42" s="70"/>
    </row>
    <row r="43" spans="2:15" ht="24.75" customHeight="1" x14ac:dyDescent="0.25">
      <c r="B43" s="40" t="s">
        <v>88</v>
      </c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</row>
    <row r="44" spans="2:15" ht="24.75" customHeight="1" x14ac:dyDescent="0.25">
      <c r="B44" s="40" t="s">
        <v>83</v>
      </c>
      <c r="C44" s="40"/>
      <c r="D44" s="40"/>
      <c r="E44" s="40"/>
      <c r="F44" s="40"/>
      <c r="G44" s="40"/>
      <c r="H44" s="40" t="s">
        <v>84</v>
      </c>
      <c r="I44" s="40"/>
      <c r="J44" s="40"/>
      <c r="K44" s="40"/>
      <c r="L44" s="40"/>
      <c r="M44" s="40" t="s">
        <v>85</v>
      </c>
      <c r="N44" s="40"/>
      <c r="O44" s="40"/>
    </row>
    <row r="45" spans="2:15" ht="24.75" customHeight="1" x14ac:dyDescent="0.25">
      <c r="B45" s="83" t="s">
        <v>89</v>
      </c>
      <c r="C45" s="84"/>
      <c r="D45" s="84"/>
      <c r="E45" s="84"/>
      <c r="F45" s="84"/>
      <c r="G45" s="85"/>
      <c r="H45" s="83" t="s">
        <v>90</v>
      </c>
      <c r="I45" s="84"/>
      <c r="J45" s="84"/>
      <c r="K45" s="84"/>
      <c r="L45" s="85"/>
      <c r="M45" s="83" t="s">
        <v>91</v>
      </c>
      <c r="N45" s="84"/>
      <c r="O45" s="85"/>
    </row>
    <row r="46" spans="2:15" ht="24.75" customHeight="1" x14ac:dyDescent="0.25">
      <c r="B46" s="40" t="s">
        <v>92</v>
      </c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</row>
    <row r="47" spans="2:15" ht="24.75" customHeight="1" x14ac:dyDescent="0.25">
      <c r="B47" s="40" t="s">
        <v>83</v>
      </c>
      <c r="C47" s="40"/>
      <c r="D47" s="40"/>
      <c r="E47" s="40"/>
      <c r="F47" s="40"/>
      <c r="G47" s="40"/>
      <c r="H47" s="40" t="s">
        <v>84</v>
      </c>
      <c r="I47" s="40"/>
      <c r="J47" s="40"/>
      <c r="K47" s="40"/>
      <c r="L47" s="40"/>
      <c r="M47" s="40" t="s">
        <v>85</v>
      </c>
      <c r="N47" s="40"/>
      <c r="O47" s="40"/>
    </row>
    <row r="48" spans="2:15" ht="24.75" customHeight="1" x14ac:dyDescent="0.25"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</row>
  </sheetData>
  <mergeCells count="69">
    <mergeCell ref="B2:B4"/>
    <mergeCell ref="C2:O2"/>
    <mergeCell ref="C3:O4"/>
    <mergeCell ref="D5:F5"/>
    <mergeCell ref="H5:J5"/>
    <mergeCell ref="K5:L5"/>
    <mergeCell ref="M5:N5"/>
    <mergeCell ref="B6:O6"/>
    <mergeCell ref="B7:O7"/>
    <mergeCell ref="C8:F8"/>
    <mergeCell ref="K9:M9"/>
    <mergeCell ref="C10:N10"/>
    <mergeCell ref="H8:I8"/>
    <mergeCell ref="C9:I9"/>
    <mergeCell ref="O19:O23"/>
    <mergeCell ref="B17:B18"/>
    <mergeCell ref="C17:C18"/>
    <mergeCell ref="K17:L18"/>
    <mergeCell ref="G17:H18"/>
    <mergeCell ref="I17:J18"/>
    <mergeCell ref="D17:F17"/>
    <mergeCell ref="B41:G41"/>
    <mergeCell ref="H41:L41"/>
    <mergeCell ref="M41:O41"/>
    <mergeCell ref="C31:O31"/>
    <mergeCell ref="C32:O32"/>
    <mergeCell ref="B34:O34"/>
    <mergeCell ref="B35:C36"/>
    <mergeCell ref="B37:C37"/>
    <mergeCell ref="B39:O39"/>
    <mergeCell ref="B40:O40"/>
    <mergeCell ref="G37:O37"/>
    <mergeCell ref="M42:O42"/>
    <mergeCell ref="B43:O43"/>
    <mergeCell ref="B44:G44"/>
    <mergeCell ref="H44:L44"/>
    <mergeCell ref="M44:O44"/>
    <mergeCell ref="B48:G48"/>
    <mergeCell ref="H48:L48"/>
    <mergeCell ref="M48:O48"/>
    <mergeCell ref="G19:H23"/>
    <mergeCell ref="I19:J23"/>
    <mergeCell ref="K19:L23"/>
    <mergeCell ref="M19:N23"/>
    <mergeCell ref="B45:G45"/>
    <mergeCell ref="H45:L45"/>
    <mergeCell ref="M45:O45"/>
    <mergeCell ref="B46:O46"/>
    <mergeCell ref="B47:G47"/>
    <mergeCell ref="H47:L47"/>
    <mergeCell ref="M47:O47"/>
    <mergeCell ref="B42:G42"/>
    <mergeCell ref="H42:L42"/>
    <mergeCell ref="C11:O11"/>
    <mergeCell ref="B12:C12"/>
    <mergeCell ref="D12:G12"/>
    <mergeCell ref="N12:O12"/>
    <mergeCell ref="D35:F35"/>
    <mergeCell ref="G35:O36"/>
    <mergeCell ref="H12:J12"/>
    <mergeCell ref="H13:J16"/>
    <mergeCell ref="K12:M12"/>
    <mergeCell ref="K13:M16"/>
    <mergeCell ref="M17:N18"/>
    <mergeCell ref="O17:O18"/>
    <mergeCell ref="B13:C16"/>
    <mergeCell ref="D13:G16"/>
    <mergeCell ref="N13:O16"/>
    <mergeCell ref="B19:B23"/>
  </mergeCells>
  <pageMargins left="0.7" right="0.7" top="0.75" bottom="0.75" header="0.3" footer="0.3"/>
  <pageSetup scale="3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INTR A ESTADISTICA</vt:lpstr>
      <vt:lpstr>'INTR A ESTADISTICA'!Área_de_impresión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Fulbia Emilia Cerón Gomez</dc:creator>
  <cp:keywords/>
  <dc:description/>
  <cp:lastModifiedBy>Fulbia Emilia Cerón Gomez</cp:lastModifiedBy>
  <cp:revision/>
  <dcterms:created xsi:type="dcterms:W3CDTF">2023-11-07T19:05:59Z</dcterms:created>
  <dcterms:modified xsi:type="dcterms:W3CDTF">2025-06-18T02:23:00Z</dcterms:modified>
  <cp:category/>
  <cp:contentStatus/>
</cp:coreProperties>
</file>