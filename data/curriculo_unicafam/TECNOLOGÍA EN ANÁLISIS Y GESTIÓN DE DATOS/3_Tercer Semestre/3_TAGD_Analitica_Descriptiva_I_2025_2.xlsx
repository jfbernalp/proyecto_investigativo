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2/TECNOLOGÍA EN ANÁLITICA Y GESTION  DE DATOS/"/>
    </mc:Choice>
  </mc:AlternateContent>
  <xr:revisionPtr revIDLastSave="2" documentId="8_{62C462CD-E741-418C-8D29-E5B3573BC184}" xr6:coauthVersionLast="47" xr6:coauthVersionMax="47" xr10:uidLastSave="{C6CDA33C-AEB4-4D94-B30E-22FF0A6A53FC}"/>
  <bookViews>
    <workbookView xWindow="-120" yWindow="-120" windowWidth="24240" windowHeight="13140" xr2:uid="{073C78CB-1153-4E28-9EA5-E6B24BEE004B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UA!$B$2:$O$55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M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<sst xmlns="http://schemas.openxmlformats.org/spreadsheetml/2006/main" count="112" uniqueCount="104">
  <si>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</si>
  <si>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</si>
  <si>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</si>
  <si>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</si>
  <si>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</si>
  <si>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</si>
  <si>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</si>
  <si>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</si>
  <si>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</si>
  <si>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</si>
  <si>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N° Créditos:</t>
  </si>
  <si>
    <t>TFD:</t>
  </si>
  <si>
    <t>Sincrónico</t>
  </si>
  <si>
    <t>Asíncrónico</t>
  </si>
  <si>
    <t>TTI:</t>
  </si>
  <si>
    <t>METODOLOGÍA:</t>
  </si>
  <si>
    <t>PROGRAMA:</t>
  </si>
  <si>
    <t>SEMESTRE:</t>
  </si>
  <si>
    <t>CÓDIGO:</t>
  </si>
  <si>
    <t>ÁREA DE FORMACIÓN:</t>
  </si>
  <si>
    <t>JUSTIFICACIÓN: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</si>
  <si>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</si>
  <si>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</si>
  <si>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</si>
  <si>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</si>
  <si>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</si>
  <si>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</si>
  <si>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</si>
  <si>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</si>
  <si>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</si>
  <si>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</si>
  <si>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</si>
  <si>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</si>
  <si>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</si>
  <si>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</si>
  <si>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</si>
  <si>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</si>
  <si>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 xml:space="preserve">RECURSOS DE APOYO 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</si>
  <si>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</si>
  <si>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</si>
  <si>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</si>
  <si>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</si>
  <si>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</si>
  <si>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</si>
  <si>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</si>
  <si>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</si>
  <si>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</si>
  <si>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</si>
  <si>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</si>
  <si>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</si>
  <si>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</si>
  <si>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</si>
  <si>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APROBÓ</t>
  </si>
  <si>
    <t xml:space="preserve">TENOLOGÍA EN ANALISIS Y GESTIÓN DE DATOS </t>
  </si>
  <si>
    <t>Resolución de Ejercicios y Problemas.
Aprendizaje Basado en Problemas.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</si>
  <si>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</si>
  <si>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</si>
  <si>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</si>
  <si>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r>
      <rPr>
        <b/>
        <sz val="11"/>
        <rFont val="Aptos Narrow"/>
        <family val="2"/>
        <scheme val="minor"/>
      </rPr>
      <t>Resolución de Ejercicios y Problemas.</t>
    </r>
    <r>
      <rPr>
        <sz val="11"/>
        <rFont val="Aptos Narrow"/>
        <family val="2"/>
        <scheme val="minor"/>
      </rPr>
      <t xml:space="preserve">
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rFont val="Aptos Narrow"/>
        <family val="2"/>
        <scheme val="minor"/>
      </rPr>
      <t xml:space="preserve">Aprendizaje Basado en Problemas. 
</t>
    </r>
    <r>
      <rPr>
        <sz val="11"/>
        <rFont val="Aptos Narrow"/>
        <family val="2"/>
        <scheme val="minor"/>
      </rPr>
      <t>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</si>
  <si>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</si>
  <si>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</si>
  <si>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</si>
  <si>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</si>
  <si>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</si>
  <si>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</si>
  <si>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>Software https://www.mathworks.com/products/matlab.html</t>
  </si>
  <si>
    <t>Software GeoGebra License; Non-commercial freeware; portions under General Public License (GPL).</t>
  </si>
  <si>
    <t>ANÁLITICA DESCRIPTIVA I</t>
  </si>
  <si>
    <t>Presencial Asistida por Tecnología
PAT</t>
  </si>
  <si>
    <t>III</t>
  </si>
  <si>
    <t>Básica</t>
  </si>
  <si>
    <t>En ciencia de datos, muchas variables pueden modelarse usando distribuciones de probabilidades para representar la incertidumbre y la variabilidad en datos observados. Las distribuciones proporcionan un marco matemático para entender cómo se distribuyen los datos y cómo pueden comportarse en diferentes contextos.</t>
  </si>
  <si>
    <t>Procesar datos que permitan identificar patrones y generar hipótesis sobre la relación entre estos.</t>
  </si>
  <si>
    <r>
      <rPr>
        <b/>
        <sz val="11"/>
        <rFont val="Aptos Narrow"/>
        <family val="2"/>
        <scheme val="minor"/>
      </rPr>
      <t xml:space="preserve">1. Esperanza Matemática
</t>
    </r>
    <r>
      <rPr>
        <sz val="1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 xml:space="preserve">2. Normalidad
</t>
    </r>
    <r>
      <rPr>
        <sz val="1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3. Distribución de probabilidad de variable aleatoria continua</t>
    </r>
    <r>
      <rPr>
        <sz val="11"/>
        <rFont val="Aptos Narrow"/>
        <family val="2"/>
        <scheme val="minor"/>
      </rPr>
      <t xml:space="preserve">
3.1.	Aproximación de la binomial a la normal
3.2.	Distribución exponencial
3.3.	Distribución gamma
3.4.	Distribución chi cuadrado
3.5.	Distribución erlang y wiebul
3.6.	Datos bivariados continuos
3.7.	Distribuciones marginales covarianza – correlación
</t>
    </r>
    <r>
      <rPr>
        <b/>
        <sz val="11"/>
        <rFont val="Aptos Narrow"/>
        <family val="2"/>
        <scheme val="minor"/>
      </rPr>
      <t xml:space="preserve">4.	Distribución de probabilidad de variable aleatoria discreta </t>
    </r>
    <r>
      <rPr>
        <sz val="11"/>
        <rFont val="Aptos Narrow"/>
        <family val="2"/>
        <scheme val="minor"/>
      </rPr>
      <t xml:space="preserve">
4.1.	Distribución uniforme discreta
4.2.	Prueba de Bernoulli
4.3.	Función de Distribución de Bernoulli
4.4.	Distribución Binomial
4.5.	Distribución Multinomial
4.6.	Distribución de Poisson
4.7.	Distribución geométrica
4.8.	Distribución hipergeométrica</t>
    </r>
  </si>
  <si>
    <t>Capacidad para entender y aplicar la esperanza matemática en diferentes contextos. Uso de conceptos de normalidad en el análisis de datos.
Comprensión de las distribuciones de probabilidad para variables aleatorias continuas y discretas.
Aplicación de la aproximación de la binomial a la normal y comprensión de las distribuciones exponencial, gamma, chi cuadrado, Erlang y Weibull.
Capacidad para trabajar con datos bivariados continuos y calcular distribuciones marginales, covarianza y correlación.
Habilidad para interpretar los resultados obtenidos de diferentes distribuciones de probabilidad y su significado en contextos prácticos.</t>
  </si>
  <si>
    <t>Manifiesta disposición y actitud positiva hacia el aprendizaje de las matemáticas.
Reconoce en  las matemáticas un oportunidad de crecimiento intelectual y profesional
Demuestra rigor en la elaboración de problemas matemáticos.
Demuestra orden y pulcritud en la presentación de sus trabajos.</t>
  </si>
  <si>
    <t>Construye sus metas de aprendizaje para el desarrollo de la unidad.
Aplica y reflexiona sobre las estrategias que le permiten acceder, manejar y transformar sus conocimientos.
Reflexiona, verifica y autorregula su aprendizaje</t>
  </si>
  <si>
    <t>Identifica las relaciones existentes entre los datos para proponer hipótesis.</t>
  </si>
  <si>
    <t>Comprender y aplicar el concepto de esperanza matemática en el análisis de datos.</t>
  </si>
  <si>
    <t>Define y explica detalladamente la esperanza matemática, calcula correctamente en múltiples ejemplos y aplica este concepto en situaciones complejas de análisis de datos con precisión.</t>
  </si>
  <si>
    <t>Define y explica la esperanza matemática, calcula correctamente en ejemplos sencillos y aplica el concepto en situaciones de análisis de datos con errores mínimos.</t>
  </si>
  <si>
    <t>Define y explica la esperanza matemática de manera superficial, calcula con errores y muestra dificultades para aplicar el concepto en situaciones de análisis de datos.</t>
  </si>
  <si>
    <t>Analizar la normalidad y su aplicación en distribuciones de probabilidad.</t>
  </si>
  <si>
    <t>Describe las propiedades de la distribución normal con detalle, utiliza correctamente pruebas estadísticas para evaluar la normalidad y aplica la distribución normal en varios contextos de análisis de datos con precisión.</t>
  </si>
  <si>
    <t>Describe las propiedades básicas de la distribución normal, utiliza pruebas estadísticas para evaluar la normalidad con errores mínimos y aplica la distribución normal en algunos contextos de análisis de datos.</t>
  </si>
  <si>
    <t>Describe las propiedades de la distribución normal de manera superficial, muestra dificultades para utilizar pruebas estadísticas y aplica la distribución normal con errores frecuentes.</t>
  </si>
  <si>
    <t>Identificar y aplicar distintas distribuciones de probabilidad de variables aleatorias continuas.</t>
  </si>
  <si>
    <t xml:space="preserve"> Explica detalladamente las características de varias distribuciones continuas (exponencial, gamma, chi cuadrado, Erlang y Weibull), selecciona y aplica la distribución adecuada en diferentes contextos con precisión y comunica los resultados claramente.</t>
  </si>
  <si>
    <t>Explica las características básicas de algunas distribuciones continuas, selecciona y aplica la distribución adecuada en contextos sencillos y comunica los resultados con algunos errores menores.</t>
  </si>
  <si>
    <t>Explica superficialmente las características de las distribuciones continuas, muestra dificultades para seleccionar y aplicar la distribución adecuada y comunica los resultados con errores frecuentes.</t>
  </si>
  <si>
    <t>Manejar y analizar datos bivariados continuos y sus distribuciones marginales, covarianza y correlación.</t>
  </si>
  <si>
    <t>Explica claramente los conceptos de datos bivariados continuos, calcula e interpreta distribuciones marginales, covarianza y correlación con precisión, y aplica técnicas de análisis con resultados claros y precisos.</t>
  </si>
  <si>
    <t>Explica los conceptos básicos de datos bivariados continuos, calcula e interpreta distribuciones marginales, covarianza y correlación con algunos errores menores y aplica técnicas de análisis de manera básica.</t>
  </si>
  <si>
    <t>Explica superficialmente los conceptos de datos bivariados continuos, muestra dificultades para calcular e interpretar distribuciones marginales, covarianza y correlación, y aplica técnicas de análisis con errores frecuentes.</t>
  </si>
  <si>
    <t>Comprender y aplicar distribuciones de probabilidad de variables aleatorias discretas.</t>
  </si>
  <si>
    <t>Describe detalladamente las distribuciones discretas (uniforme, binomial, multinomial, Poisson, geométrica e hipergeométrica), calcula probabilidades correctamente en varios contextos y evalúa la idoneidad de cada distribución con precisión.</t>
  </si>
  <si>
    <t>Describe las características básicas de algunas distribuciones discretas, calcula probabilidades en contextos sencillos con algunos errores menores y evalúa la idoneidad de cada distribución en escenarios limitados.</t>
  </si>
  <si>
    <t>Describe superficialmente las distribuciones discretas, muestra dificultades para calcular probabilidades y evalúa la idoneidad de cada distribución con errores frecuentes.</t>
  </si>
  <si>
    <t>Lind, D., Marchal, W., Wathen S. (2015). Estadística aplicada a los negocios y la economía.  Mac Graw Hill</t>
  </si>
  <si>
    <t>Newbold, P,. (2008) Estadística para administración y economía. Pearson- Prentice Hall</t>
  </si>
  <si>
    <t>Peña, D. (2015). Fundamentos de estadística. Difusora Larousse - Alianza Editorial. https://elibro-net.biblioteca.unicafam.edu.co</t>
  </si>
  <si>
    <t>Álvares, Á. (2010). Estadística empresarial. Firmas Press. https://elibro-net.biblioteca.unicafam.edu.co</t>
  </si>
  <si>
    <t>Montgomery, D. (2009).  Probabilidad y estadística aplicadas a la ingeniería. Limusa Wiley,</t>
  </si>
  <si>
    <t>Mendenhall, W. (2010).   Introducción a la probabilidad y estadística. Cengage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</si>
</sst>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0"/>
      <name val="Poppins"/>
    </font>
    <font>
      <sz val="11"/>
      <color rgb="FF2C2C2C"/>
      <name val="Arial"/>
      <family val="2"/>
    </font>
    <font>
      <sz val="11"/>
      <color theme="1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32" xfId="0" applyBorder="1"/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36" xfId="0" applyFont="1" applyFill="1" applyBorder="1" applyAlignment="1" applyProtection="1">
      <alignment horizontal="center" vertical="center" wrapText="1"/>
      <protection hidden="1"/>
    </xf>
    <xf numFmtId="0" fontId="15" fillId="6" borderId="21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0" fontId="16" fillId="3" borderId="0" xfId="0" applyFont="1" applyFill="1" applyAlignment="1">
      <alignment horizontal="center" vertical="center"/>
    </xf>
    <xf numFmtId="0" fontId="13" fillId="0" borderId="21" xfId="1" applyFont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40" xfId="0" applyBorder="1"/>
    <xf numFmtId="0" fontId="13" fillId="0" borderId="41" xfId="1" applyFont="1" applyBorder="1" applyAlignment="1">
      <alignment horizontal="left" vertical="center" wrapText="1"/>
    </xf>
    <xf numFmtId="0" fontId="13" fillId="0" borderId="32" xfId="1" applyFont="1" applyBorder="1" applyAlignment="1">
      <alignment horizontal="left" vertical="center" wrapText="1"/>
    </xf>
    <xf numFmtId="0" fontId="14" fillId="0" borderId="1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13" fillId="0" borderId="34" xfId="1" applyFont="1" applyBorder="1" applyAlignment="1">
      <alignment vertical="center" wrapText="1"/>
    </xf>
    <xf numFmtId="0" fontId="14" fillId="0" borderId="20" xfId="1" applyFont="1" applyBorder="1" applyAlignment="1">
      <alignment horizontal="left" vertical="center"/>
    </xf>
    <xf numFmtId="0" fontId="14" fillId="0" borderId="23" xfId="1" applyFont="1" applyBorder="1" applyAlignment="1">
      <alignment horizontal="left" vertical="center"/>
    </xf>
    <xf numFmtId="0" fontId="18" fillId="0" borderId="23" xfId="0" applyFont="1" applyBorder="1"/>
    <xf numFmtId="0" fontId="17" fillId="0" borderId="23" xfId="0" applyFont="1" applyBorder="1" applyAlignment="1" applyProtection="1">
      <alignment horizontal="left" vertical="top"/>
      <protection locked="0"/>
    </xf>
    <xf numFmtId="0" fontId="14" fillId="0" borderId="30" xfId="1" applyFont="1" applyBorder="1" applyAlignment="1">
      <alignment vertical="center"/>
    </xf>
    <xf numFmtId="0" fontId="17" fillId="0" borderId="26" xfId="0" applyFont="1" applyBorder="1" applyAlignment="1" applyProtection="1">
      <alignment horizontal="left" vertical="top"/>
      <protection locked="0"/>
    </xf>
    <xf numFmtId="0" fontId="13" fillId="0" borderId="43" xfId="1" applyFont="1" applyBorder="1" applyAlignment="1">
      <alignment vertical="center" wrapText="1"/>
    </xf>
    <xf numFmtId="0" fontId="19" fillId="0" borderId="44" xfId="0" applyFont="1" applyBorder="1" applyAlignment="1">
      <alignment vertical="top" wrapText="1"/>
    </xf>
    <xf numFmtId="0" fontId="19" fillId="0" borderId="45" xfId="0" applyFont="1" applyBorder="1" applyAlignment="1">
      <alignment vertical="top" wrapText="1"/>
    </xf>
    <xf numFmtId="0" fontId="19" fillId="0" borderId="46" xfId="0" applyFont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  <protection hidden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30" xfId="0" applyFont="1" applyFill="1" applyBorder="1" applyAlignment="1" applyProtection="1">
      <alignment horizontal="center" vertical="center" wrapText="1"/>
      <protection hidden="1"/>
    </xf>
    <xf numFmtId="0" fontId="15" fillId="6" borderId="34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42" xfId="0" applyFont="1" applyBorder="1" applyAlignment="1">
      <alignment horizontal="left" vertical="top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5" fillId="6" borderId="21" xfId="0" applyFont="1" applyFill="1" applyBorder="1" applyAlignment="1" applyProtection="1">
      <alignment horizontal="center" vertical="center" wrapText="1"/>
      <protection hidden="1"/>
    </xf>
    <xf numFmtId="0" fontId="15" fillId="6" borderId="22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0" fillId="4" borderId="1" xfId="0" applyFill="1" applyBorder="1" applyAlignment="1">
      <alignment horizontal="center"/>
    </xf>
    <xf numFmtId="0" fontId="8" fillId="5" borderId="37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15" fillId="6" borderId="35" xfId="0" applyFont="1" applyFill="1" applyBorder="1" applyAlignment="1" applyProtection="1">
      <alignment horizontal="center" vertical="center" wrapText="1"/>
      <protection hidden="1"/>
    </xf>
    <xf numFmtId="0" fontId="15" fillId="6" borderId="36" xfId="0" applyFont="1" applyFill="1" applyBorder="1" applyAlignment="1" applyProtection="1">
      <alignment horizontal="center" vertical="center" wrapText="1"/>
      <protection hidden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8" xfId="1" applyFont="1" applyFill="1" applyBorder="1" applyAlignment="1">
      <alignment horizontal="center" vertical="center" wrapText="1"/>
    </xf>
    <xf numFmtId="0" fontId="8" fillId="5" borderId="19" xfId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top" wrapText="1"/>
    </xf>
    <xf numFmtId="0" fontId="13" fillId="4" borderId="21" xfId="0" applyFont="1" applyFill="1" applyBorder="1" applyAlignment="1">
      <alignment vertical="top" wrapText="1"/>
    </xf>
    <xf numFmtId="0" fontId="13" fillId="4" borderId="22" xfId="0" applyFont="1" applyFill="1" applyBorder="1" applyAlignment="1">
      <alignment vertical="top" wrapText="1"/>
    </xf>
    <xf numFmtId="0" fontId="13" fillId="4" borderId="23" xfId="0" applyFont="1" applyFill="1" applyBorder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3" fillId="4" borderId="24" xfId="0" applyFont="1" applyFill="1" applyBorder="1" applyAlignment="1">
      <alignment vertical="top" wrapText="1"/>
    </xf>
    <xf numFmtId="0" fontId="13" fillId="4" borderId="11" xfId="0" applyFont="1" applyFill="1" applyBorder="1" applyAlignment="1">
      <alignment vertical="top" wrapText="1"/>
    </xf>
    <xf numFmtId="0" fontId="13" fillId="4" borderId="12" xfId="0" applyFont="1" applyFill="1" applyBorder="1" applyAlignment="1">
      <alignment vertical="top" wrapText="1"/>
    </xf>
    <xf numFmtId="0" fontId="13" fillId="4" borderId="25" xfId="0" applyFont="1" applyFill="1" applyBorder="1" applyAlignment="1">
      <alignment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21" xfId="0" applyFont="1" applyFill="1" applyBorder="1" applyAlignment="1">
      <alignment horizontal="left" vertical="top" wrapText="1"/>
    </xf>
    <xf numFmtId="0" fontId="13" fillId="4" borderId="22" xfId="0" applyFont="1" applyFill="1" applyBorder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13" fillId="4" borderId="24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25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horizontal="left" vertical="top" wrapText="1"/>
    </xf>
    <xf numFmtId="0" fontId="13" fillId="4" borderId="41" xfId="0" applyFont="1" applyFill="1" applyBorder="1" applyAlignment="1">
      <alignment horizontal="left" vertical="top" wrapText="1"/>
    </xf>
    <xf numFmtId="0" fontId="13" fillId="4" borderId="23" xfId="0" applyFont="1" applyFill="1" applyBorder="1" applyAlignment="1">
      <alignment horizontal="left" vertical="top" wrapText="1"/>
    </xf>
    <xf numFmtId="0" fontId="13" fillId="4" borderId="32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top" wrapText="1"/>
    </xf>
    <xf numFmtId="0" fontId="13" fillId="4" borderId="13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0" fillId="4" borderId="9" xfId="0" applyFont="1" applyFill="1" applyBorder="1" applyAlignment="1">
      <alignment vertical="center" wrapText="1"/>
    </xf>
  </cellXfs>
  <cellStyles count="2">
    <cellStyle name="Normal" xfId="0" builtinId="0"/>
    <cellStyle name="Normal 2 4 3" xfId="1" xr:uid="{A797EE45-C6E0-4305-A551-670C70F19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7</xdr:row>
      <xdr:rowOff>85725</xdr:rowOff>
    </xdr:from>
    <xdr:to>
      <xdr:col>3</xdr:col>
      <xdr:colOff>447675</xdr:colOff>
      <xdr:row>8</xdr:row>
      <xdr:rowOff>133350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76DD8E0C-DB61-4A45-B7EA-08E22630D689}"/>
            </a:ext>
          </a:extLst>
        </xdr:cNvPr>
        <xdr:cNvSpPr/>
      </xdr:nvSpPr>
      <xdr:spPr>
        <a:xfrm>
          <a:off x="3810000" y="1952625"/>
          <a:ext cx="314325" cy="2762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416-1FC7-4D13-854B-4ED6649884BC}">
  <sheetPr>
    <tabColor theme="8"/>
  </sheetPr>
  <dimension ref="B2:O55"/>
  <sheetViews>
    <sheetView tabSelected="1" topLeftCell="C1" workbookViewId="0">
      <selection activeCell="K14" sqref="K14:M17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116" t="e" vm="1">
        <v>#VALUE!</v>
      </c>
      <c r="C2" s="117" t="s">
        <v>0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2:15" ht="24" customHeight="1" x14ac:dyDescent="0.25">
      <c r="B3" s="116"/>
      <c r="C3" s="118" t="s">
        <v>1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</row>
    <row r="4" spans="2:15" ht="24" customHeight="1" x14ac:dyDescent="0.25">
      <c r="B4" s="116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</row>
    <row r="5" spans="2:15" ht="20.100000000000001" customHeight="1" x14ac:dyDescent="0.25">
      <c r="B5" s="3" t="s">
        <v>2</v>
      </c>
      <c r="C5" s="1" t="s">
        <v>3</v>
      </c>
      <c r="D5" s="48" t="s">
        <v>4</v>
      </c>
      <c r="E5" s="48"/>
      <c r="F5" s="48"/>
      <c r="G5" s="1">
        <v>1</v>
      </c>
      <c r="H5" s="48" t="s">
        <v>5</v>
      </c>
      <c r="I5" s="48"/>
      <c r="J5" s="48"/>
      <c r="K5" s="65"/>
      <c r="L5" s="65"/>
      <c r="M5" s="48" t="s">
        <v>6</v>
      </c>
      <c r="N5" s="48"/>
      <c r="O5" s="1" t="s">
        <v>7</v>
      </c>
    </row>
    <row r="6" spans="2:15" ht="20.100000000000001" customHeight="1" x14ac:dyDescent="0.25"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</row>
    <row r="7" spans="2:15" ht="20.100000000000001" customHeight="1" thickBot="1" x14ac:dyDescent="0.3">
      <c r="B7" s="120" t="s">
        <v>8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8" spans="2:15" ht="18" customHeight="1" x14ac:dyDescent="0.25">
      <c r="B8" s="76" t="s">
        <v>9</v>
      </c>
      <c r="C8" s="122" t="s">
        <v>67</v>
      </c>
      <c r="D8" s="122"/>
      <c r="E8" s="122"/>
      <c r="F8" s="122"/>
      <c r="G8" s="78" t="s">
        <v>10</v>
      </c>
      <c r="H8" s="125">
        <v>3</v>
      </c>
      <c r="I8" s="78" t="s">
        <v>11</v>
      </c>
      <c r="J8" s="4" t="s">
        <v>12</v>
      </c>
      <c r="K8" s="4" t="s">
        <v>13</v>
      </c>
      <c r="L8" s="127" t="s">
        <v>14</v>
      </c>
      <c r="M8" s="4" t="s">
        <v>13</v>
      </c>
      <c r="N8" s="129" t="s">
        <v>15</v>
      </c>
      <c r="O8" s="131" t="s">
        <v>68</v>
      </c>
    </row>
    <row r="9" spans="2:15" ht="18" customHeight="1" x14ac:dyDescent="0.25">
      <c r="B9" s="121"/>
      <c r="C9" s="123"/>
      <c r="D9" s="123"/>
      <c r="E9" s="123"/>
      <c r="F9" s="123"/>
      <c r="G9" s="124"/>
      <c r="H9" s="126"/>
      <c r="I9" s="124"/>
      <c r="J9" s="5">
        <f>H8*16</f>
        <v>48</v>
      </c>
      <c r="K9" s="5">
        <v>0</v>
      </c>
      <c r="L9" s="128"/>
      <c r="M9" s="5">
        <f>J9*2</f>
        <v>96</v>
      </c>
      <c r="N9" s="130"/>
      <c r="O9" s="132"/>
    </row>
    <row r="10" spans="2:15" ht="18" customHeight="1" x14ac:dyDescent="0.25">
      <c r="B10" s="138" t="s">
        <v>16</v>
      </c>
      <c r="C10" s="136" t="s">
        <v>53</v>
      </c>
      <c r="D10" s="136"/>
      <c r="E10" s="136"/>
      <c r="F10" s="136"/>
      <c r="G10" s="136"/>
      <c r="H10" s="136"/>
      <c r="I10" s="136"/>
      <c r="J10" s="40" t="s">
        <v>17</v>
      </c>
      <c r="K10" s="137" t="s">
        <v>69</v>
      </c>
      <c r="L10" s="137"/>
      <c r="M10" s="137"/>
      <c r="N10" s="135" t="s">
        <v>18</v>
      </c>
      <c r="O10" s="139">
        <v>14029150301</v>
      </c>
    </row>
    <row r="11" spans="2:15" ht="18" customHeight="1" thickBot="1" x14ac:dyDescent="0.3">
      <c r="B11" s="6" t="s">
        <v>19</v>
      </c>
      <c r="C11" s="140" t="s">
        <v>70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1"/>
    </row>
    <row r="12" spans="2:15" ht="42.75" customHeight="1" thickBot="1" x14ac:dyDescent="0.3">
      <c r="B12" s="8" t="s">
        <v>20</v>
      </c>
      <c r="C12" s="133" t="s">
        <v>71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4"/>
    </row>
    <row r="13" spans="2:15" ht="30" customHeight="1" x14ac:dyDescent="0.25">
      <c r="B13" s="87" t="s">
        <v>21</v>
      </c>
      <c r="C13" s="82"/>
      <c r="D13" s="80" t="s">
        <v>22</v>
      </c>
      <c r="E13" s="81"/>
      <c r="F13" s="81"/>
      <c r="G13" s="82"/>
      <c r="H13" s="88" t="s">
        <v>23</v>
      </c>
      <c r="I13" s="88"/>
      <c r="J13" s="88"/>
      <c r="K13" s="88" t="s">
        <v>24</v>
      </c>
      <c r="L13" s="88"/>
      <c r="M13" s="88"/>
      <c r="N13" s="88" t="s">
        <v>25</v>
      </c>
      <c r="O13" s="89"/>
    </row>
    <row r="14" spans="2:15" ht="100.5" customHeight="1" x14ac:dyDescent="0.25">
      <c r="B14" s="90" t="s">
        <v>72</v>
      </c>
      <c r="C14" s="91"/>
      <c r="D14" s="94" t="s">
        <v>73</v>
      </c>
      <c r="E14" s="95"/>
      <c r="F14" s="95"/>
      <c r="G14" s="96"/>
      <c r="H14" s="103" t="s">
        <v>74</v>
      </c>
      <c r="I14" s="103"/>
      <c r="J14" s="103"/>
      <c r="K14" s="104" t="s">
        <v>75</v>
      </c>
      <c r="L14" s="104"/>
      <c r="M14" s="105"/>
      <c r="N14" s="110" t="s">
        <v>76</v>
      </c>
      <c r="O14" s="111"/>
    </row>
    <row r="15" spans="2:15" ht="100.5" customHeight="1" x14ac:dyDescent="0.25">
      <c r="B15" s="90"/>
      <c r="C15" s="91"/>
      <c r="D15" s="97"/>
      <c r="E15" s="98"/>
      <c r="F15" s="98"/>
      <c r="G15" s="99"/>
      <c r="H15" s="103"/>
      <c r="I15" s="103"/>
      <c r="J15" s="103"/>
      <c r="K15" s="106"/>
      <c r="L15" s="106"/>
      <c r="M15" s="107"/>
      <c r="N15" s="112"/>
      <c r="O15" s="113"/>
    </row>
    <row r="16" spans="2:15" ht="100.5" customHeight="1" x14ac:dyDescent="0.25">
      <c r="B16" s="90"/>
      <c r="C16" s="91"/>
      <c r="D16" s="97"/>
      <c r="E16" s="98"/>
      <c r="F16" s="98"/>
      <c r="G16" s="99"/>
      <c r="H16" s="103"/>
      <c r="I16" s="103"/>
      <c r="J16" s="103"/>
      <c r="K16" s="106"/>
      <c r="L16" s="106"/>
      <c r="M16" s="107"/>
      <c r="N16" s="112"/>
      <c r="O16" s="113"/>
    </row>
    <row r="17" spans="2:15" ht="100.5" customHeight="1" thickBot="1" x14ac:dyDescent="0.3">
      <c r="B17" s="92"/>
      <c r="C17" s="93"/>
      <c r="D17" s="100"/>
      <c r="E17" s="101"/>
      <c r="F17" s="101"/>
      <c r="G17" s="102"/>
      <c r="H17" s="103"/>
      <c r="I17" s="103"/>
      <c r="J17" s="103"/>
      <c r="K17" s="108"/>
      <c r="L17" s="108"/>
      <c r="M17" s="109"/>
      <c r="N17" s="114"/>
      <c r="O17" s="115"/>
    </row>
    <row r="18" spans="2:15" ht="30" customHeight="1" x14ac:dyDescent="0.25">
      <c r="B18" s="76" t="s">
        <v>26</v>
      </c>
      <c r="C18" s="78" t="s">
        <v>27</v>
      </c>
      <c r="D18" s="80" t="s">
        <v>28</v>
      </c>
      <c r="E18" s="81"/>
      <c r="F18" s="82"/>
      <c r="G18" s="83" t="s">
        <v>29</v>
      </c>
      <c r="H18" s="84"/>
      <c r="I18" s="54" t="s">
        <v>30</v>
      </c>
      <c r="J18" s="55"/>
      <c r="K18" s="54" t="s">
        <v>31</v>
      </c>
      <c r="L18" s="70"/>
      <c r="M18" s="54" t="s">
        <v>32</v>
      </c>
      <c r="N18" s="55"/>
      <c r="O18" s="72" t="s">
        <v>33</v>
      </c>
    </row>
    <row r="19" spans="2:15" ht="15" customHeight="1" thickBot="1" x14ac:dyDescent="0.3">
      <c r="B19" s="77"/>
      <c r="C19" s="79"/>
      <c r="D19" s="7" t="s">
        <v>34</v>
      </c>
      <c r="E19" s="7" t="s">
        <v>35</v>
      </c>
      <c r="F19" s="7" t="s">
        <v>36</v>
      </c>
      <c r="G19" s="85"/>
      <c r="H19" s="86"/>
      <c r="I19" s="56"/>
      <c r="J19" s="57"/>
      <c r="K19" s="56"/>
      <c r="L19" s="71"/>
      <c r="M19" s="56"/>
      <c r="N19" s="57"/>
      <c r="O19" s="73"/>
    </row>
    <row r="20" spans="2:15" ht="174.75" customHeight="1" x14ac:dyDescent="0.25">
      <c r="B20" s="74" t="s">
        <v>77</v>
      </c>
      <c r="C20" s="37" t="s">
        <v>78</v>
      </c>
      <c r="D20" s="38" t="s">
        <v>79</v>
      </c>
      <c r="E20" s="38" t="s">
        <v>80</v>
      </c>
      <c r="F20" s="38" t="s">
        <v>81</v>
      </c>
      <c r="G20" s="58" t="s">
        <v>54</v>
      </c>
      <c r="H20" s="59"/>
      <c r="I20" s="49" t="s">
        <v>55</v>
      </c>
      <c r="J20" s="50"/>
      <c r="K20" s="49" t="s">
        <v>56</v>
      </c>
      <c r="L20" s="50"/>
      <c r="M20" s="49" t="s">
        <v>57</v>
      </c>
      <c r="N20" s="50"/>
      <c r="O20" s="53" t="s">
        <v>58</v>
      </c>
    </row>
    <row r="21" spans="2:15" ht="174.75" customHeight="1" x14ac:dyDescent="0.25">
      <c r="B21" s="74"/>
      <c r="C21" s="38" t="s">
        <v>82</v>
      </c>
      <c r="D21" s="38" t="s">
        <v>83</v>
      </c>
      <c r="E21" s="38" t="s">
        <v>84</v>
      </c>
      <c r="F21" s="38" t="s">
        <v>85</v>
      </c>
      <c r="G21" s="60"/>
      <c r="H21" s="61"/>
      <c r="I21" s="51"/>
      <c r="J21" s="52"/>
      <c r="K21" s="51"/>
      <c r="L21" s="52"/>
      <c r="M21" s="51"/>
      <c r="N21" s="52"/>
      <c r="O21" s="53"/>
    </row>
    <row r="22" spans="2:15" ht="174.75" customHeight="1" x14ac:dyDescent="0.25">
      <c r="B22" s="74"/>
      <c r="C22" s="38" t="s">
        <v>86</v>
      </c>
      <c r="D22" s="38" t="s">
        <v>87</v>
      </c>
      <c r="E22" s="38" t="s">
        <v>88</v>
      </c>
      <c r="F22" s="38" t="s">
        <v>89</v>
      </c>
      <c r="G22" s="60"/>
      <c r="H22" s="61"/>
      <c r="I22" s="51"/>
      <c r="J22" s="52"/>
      <c r="K22" s="51"/>
      <c r="L22" s="52"/>
      <c r="M22" s="51"/>
      <c r="N22" s="52"/>
      <c r="O22" s="53"/>
    </row>
    <row r="23" spans="2:15" ht="129.75" customHeight="1" x14ac:dyDescent="0.25">
      <c r="B23" s="74"/>
      <c r="C23" s="38" t="s">
        <v>90</v>
      </c>
      <c r="D23" s="38" t="s">
        <v>91</v>
      </c>
      <c r="E23" s="38" t="s">
        <v>92</v>
      </c>
      <c r="F23" s="38" t="s">
        <v>93</v>
      </c>
      <c r="G23" s="60"/>
      <c r="H23" s="61"/>
      <c r="I23" s="51"/>
      <c r="J23" s="52"/>
      <c r="K23" s="51"/>
      <c r="L23" s="52"/>
      <c r="M23" s="51"/>
      <c r="N23" s="52"/>
      <c r="O23" s="53"/>
    </row>
    <row r="24" spans="2:15" ht="193.5" customHeight="1" thickBot="1" x14ac:dyDescent="0.3">
      <c r="B24" s="75"/>
      <c r="C24" s="39" t="s">
        <v>94</v>
      </c>
      <c r="D24" s="39" t="s">
        <v>95</v>
      </c>
      <c r="E24" s="39" t="s">
        <v>96</v>
      </c>
      <c r="F24" s="39" t="s">
        <v>97</v>
      </c>
      <c r="G24" s="60"/>
      <c r="H24" s="61"/>
      <c r="I24" s="51"/>
      <c r="J24" s="52"/>
      <c r="K24" s="51"/>
      <c r="L24" s="52"/>
      <c r="M24" s="51"/>
      <c r="N24" s="52"/>
      <c r="O24" s="53"/>
    </row>
    <row r="25" spans="2:15" ht="15" customHeight="1" x14ac:dyDescent="0.25">
      <c r="B25" s="41" t="s">
        <v>37</v>
      </c>
      <c r="C25" s="35" t="s">
        <v>59</v>
      </c>
      <c r="D25" s="19"/>
      <c r="E25" s="19"/>
      <c r="F25" s="19"/>
      <c r="G25" s="19"/>
      <c r="H25" s="19"/>
      <c r="I25" s="19"/>
      <c r="J25" s="20"/>
      <c r="K25" s="20"/>
      <c r="L25" s="20"/>
      <c r="M25" s="20"/>
      <c r="N25" s="20"/>
      <c r="O25" s="21"/>
    </row>
    <row r="26" spans="2:15" ht="15" customHeight="1" x14ac:dyDescent="0.25">
      <c r="B26" s="42"/>
      <c r="C26" s="33" t="s">
        <v>60</v>
      </c>
      <c r="D26" s="9"/>
      <c r="E26" s="9"/>
      <c r="F26" s="9"/>
      <c r="G26" s="9"/>
      <c r="H26" s="9"/>
      <c r="I26" s="9"/>
      <c r="J26"/>
      <c r="K26"/>
      <c r="L26"/>
      <c r="M26"/>
      <c r="N26"/>
      <c r="O26" s="10"/>
    </row>
    <row r="27" spans="2:15" ht="15" customHeight="1" x14ac:dyDescent="0.25">
      <c r="B27" s="42"/>
      <c r="C27" s="33" t="s">
        <v>61</v>
      </c>
      <c r="D27" s="9"/>
      <c r="E27" s="9"/>
      <c r="F27" s="9"/>
      <c r="G27" s="9"/>
      <c r="H27" s="9"/>
      <c r="I27" s="9"/>
      <c r="J27"/>
      <c r="K27"/>
      <c r="L27"/>
      <c r="M27"/>
      <c r="N27"/>
      <c r="O27" s="10"/>
    </row>
    <row r="28" spans="2:15" ht="15" customHeight="1" x14ac:dyDescent="0.25">
      <c r="B28" s="42"/>
      <c r="C28" s="33" t="s">
        <v>62</v>
      </c>
      <c r="D28" s="9"/>
      <c r="E28" s="9"/>
      <c r="F28" s="9"/>
      <c r="G28" s="9"/>
      <c r="H28" s="9"/>
      <c r="I28" s="9"/>
      <c r="J28"/>
      <c r="K28"/>
      <c r="L28"/>
      <c r="M28"/>
      <c r="N28"/>
      <c r="O28" s="10"/>
    </row>
    <row r="29" spans="2:15" ht="15" customHeight="1" x14ac:dyDescent="0.25">
      <c r="B29" s="42"/>
      <c r="C29" s="33" t="s">
        <v>63</v>
      </c>
      <c r="D29" s="9"/>
      <c r="E29" s="9"/>
      <c r="F29" s="9"/>
      <c r="G29" s="9"/>
      <c r="H29" s="9"/>
      <c r="I29" s="9"/>
      <c r="J29"/>
      <c r="K29"/>
      <c r="L29"/>
      <c r="M29"/>
      <c r="N29"/>
      <c r="O29" s="10"/>
    </row>
    <row r="30" spans="2:15" ht="15" customHeight="1" x14ac:dyDescent="0.25">
      <c r="B30" s="42"/>
      <c r="C30" s="33" t="s">
        <v>64</v>
      </c>
      <c r="D30" s="9"/>
      <c r="E30" s="9"/>
      <c r="F30" s="9"/>
      <c r="G30" s="9"/>
      <c r="H30" s="9"/>
      <c r="I30" s="9"/>
      <c r="J30"/>
      <c r="K30"/>
      <c r="L30"/>
      <c r="M30"/>
      <c r="N30"/>
      <c r="O30" s="10"/>
    </row>
    <row r="31" spans="2:15" ht="15" customHeight="1" x14ac:dyDescent="0.25">
      <c r="B31" s="42"/>
      <c r="C31" s="27" t="s">
        <v>65</v>
      </c>
      <c r="D31" s="9"/>
      <c r="E31" s="9"/>
      <c r="F31" s="9"/>
      <c r="G31" s="9"/>
      <c r="H31" s="9"/>
      <c r="I31" s="9"/>
      <c r="J31"/>
      <c r="K31"/>
      <c r="L31"/>
      <c r="M31"/>
      <c r="N31"/>
      <c r="O31" s="10"/>
    </row>
    <row r="32" spans="2:15" ht="15" customHeight="1" x14ac:dyDescent="0.25">
      <c r="B32" s="43"/>
      <c r="C32" s="34" t="s">
        <v>66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6"/>
    </row>
    <row r="33" spans="2:15" ht="15" customHeight="1" x14ac:dyDescent="0.25">
      <c r="B33" s="66" t="s">
        <v>38</v>
      </c>
      <c r="C33" s="30" t="s">
        <v>98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2"/>
    </row>
    <row r="34" spans="2:15" ht="15" customHeight="1" x14ac:dyDescent="0.25">
      <c r="B34" s="42"/>
      <c r="C34" s="31" t="s">
        <v>99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3"/>
    </row>
    <row r="35" spans="2:15" ht="15" customHeight="1" x14ac:dyDescent="0.25">
      <c r="B35" s="42"/>
      <c r="C35" s="31" t="s">
        <v>100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3"/>
    </row>
    <row r="36" spans="2:15" ht="15" customHeight="1" x14ac:dyDescent="0.25">
      <c r="B36" s="42"/>
      <c r="C36" s="32" t="s">
        <v>101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3"/>
    </row>
    <row r="37" spans="2:15" ht="15" customHeight="1" x14ac:dyDescent="0.25">
      <c r="B37" s="42"/>
      <c r="C37" s="31" t="s">
        <v>102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3"/>
    </row>
    <row r="38" spans="2:15" ht="15" customHeight="1" x14ac:dyDescent="0.25">
      <c r="B38" s="42"/>
      <c r="C38" s="18" t="s">
        <v>103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3"/>
    </row>
    <row r="39" spans="2:15" ht="15" customHeight="1" thickBot="1" x14ac:dyDescent="0.3">
      <c r="B39" s="67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</row>
    <row r="41" spans="2:15" ht="24.75" customHeight="1" x14ac:dyDescent="0.25">
      <c r="B41" s="46" t="s">
        <v>39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2:15" ht="24.75" customHeight="1" x14ac:dyDescent="0.25">
      <c r="B42" s="45" t="s">
        <v>4</v>
      </c>
      <c r="C42" s="45"/>
      <c r="D42" s="68" t="s">
        <v>40</v>
      </c>
      <c r="E42" s="68"/>
      <c r="F42" s="68"/>
      <c r="G42" s="68"/>
      <c r="H42" s="69"/>
      <c r="I42" s="12"/>
      <c r="J42" s="45" t="s">
        <v>41</v>
      </c>
      <c r="K42" s="45"/>
      <c r="L42" s="45"/>
      <c r="M42" s="45"/>
      <c r="N42" s="45"/>
      <c r="O42" s="45"/>
    </row>
    <row r="43" spans="2:15" ht="24.75" customHeight="1" x14ac:dyDescent="0.25">
      <c r="B43" s="45"/>
      <c r="C43" s="45"/>
      <c r="D43" s="12" t="s">
        <v>42</v>
      </c>
      <c r="E43" s="13"/>
      <c r="F43" s="62" t="s">
        <v>43</v>
      </c>
      <c r="G43" s="63"/>
      <c r="H43" s="11" t="s">
        <v>44</v>
      </c>
      <c r="I43" s="11"/>
      <c r="J43" s="45"/>
      <c r="K43" s="45"/>
      <c r="L43" s="45"/>
      <c r="M43" s="45"/>
      <c r="N43" s="45"/>
      <c r="O43" s="45"/>
    </row>
    <row r="44" spans="2:15" ht="24.75" customHeight="1" x14ac:dyDescent="0.25">
      <c r="B44" s="64">
        <v>1</v>
      </c>
      <c r="C44" s="64"/>
      <c r="D44" s="15"/>
      <c r="E44" s="15"/>
      <c r="F44" s="65"/>
      <c r="G44" s="65"/>
      <c r="H44" s="14"/>
      <c r="I44" s="14"/>
      <c r="J44" s="64" t="s">
        <v>45</v>
      </c>
      <c r="K44" s="64"/>
      <c r="L44" s="64"/>
      <c r="M44" s="64"/>
      <c r="N44" s="64"/>
      <c r="O44" s="64"/>
    </row>
    <row r="45" spans="2:15" ht="24.75" customHeight="1" x14ac:dyDescent="0.25">
      <c r="B45" s="16"/>
      <c r="G45" s="16"/>
      <c r="H45" s="16"/>
      <c r="I45" s="16"/>
    </row>
    <row r="46" spans="2:15" ht="24.75" customHeight="1" x14ac:dyDescent="0.25">
      <c r="B46" s="48" t="s">
        <v>46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</row>
    <row r="47" spans="2:15" ht="24.75" customHeight="1" x14ac:dyDescent="0.25">
      <c r="B47" s="48" t="s">
        <v>47</v>
      </c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</row>
    <row r="48" spans="2:15" ht="24.75" customHeight="1" x14ac:dyDescent="0.25">
      <c r="B48" s="45" t="s">
        <v>48</v>
      </c>
      <c r="C48" s="45"/>
      <c r="D48" s="45"/>
      <c r="E48" s="45"/>
      <c r="F48" s="45"/>
      <c r="G48" s="45"/>
      <c r="H48" s="45" t="s">
        <v>49</v>
      </c>
      <c r="I48" s="45"/>
      <c r="J48" s="45"/>
      <c r="K48" s="45"/>
      <c r="L48" s="45"/>
      <c r="M48" s="45" t="s">
        <v>50</v>
      </c>
      <c r="N48" s="45"/>
      <c r="O48" s="45"/>
    </row>
    <row r="49" spans="2:15" ht="24.75" customHeight="1" x14ac:dyDescent="0.25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2:15" ht="24.75" customHeight="1" x14ac:dyDescent="0.25">
      <c r="B50" s="45" t="s">
        <v>51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</row>
    <row r="51" spans="2:15" ht="24.75" customHeight="1" x14ac:dyDescent="0.25">
      <c r="B51" s="45" t="s">
        <v>48</v>
      </c>
      <c r="C51" s="45"/>
      <c r="D51" s="45"/>
      <c r="E51" s="45"/>
      <c r="F51" s="45"/>
      <c r="G51" s="45"/>
      <c r="H51" s="45" t="s">
        <v>49</v>
      </c>
      <c r="I51" s="45"/>
      <c r="J51" s="45"/>
      <c r="K51" s="45"/>
      <c r="L51" s="45"/>
      <c r="M51" s="45" t="s">
        <v>50</v>
      </c>
      <c r="N51" s="45"/>
      <c r="O51" s="45"/>
    </row>
    <row r="52" spans="2:15" ht="24.75" customHeight="1" x14ac:dyDescent="0.25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2:15" ht="24.75" customHeight="1" x14ac:dyDescent="0.25">
      <c r="B53" s="45" t="s">
        <v>52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 spans="2:15" ht="24.75" customHeight="1" x14ac:dyDescent="0.25">
      <c r="B54" s="45" t="s">
        <v>48</v>
      </c>
      <c r="C54" s="45"/>
      <c r="D54" s="45"/>
      <c r="E54" s="45"/>
      <c r="F54" s="45"/>
      <c r="G54" s="45"/>
      <c r="H54" s="45" t="s">
        <v>49</v>
      </c>
      <c r="I54" s="45"/>
      <c r="J54" s="45"/>
      <c r="K54" s="45"/>
      <c r="L54" s="45"/>
      <c r="M54" s="45" t="s">
        <v>50</v>
      </c>
      <c r="N54" s="45"/>
      <c r="O54" s="45"/>
    </row>
    <row r="55" spans="2:15" ht="24.75" customHeight="1" x14ac:dyDescent="0.25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</sheetData>
  <mergeCells count="77"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  <mergeCell ref="B2:B4"/>
    <mergeCell ref="C2:O2"/>
    <mergeCell ref="C3:O4"/>
    <mergeCell ref="D5:F5"/>
    <mergeCell ref="H5:J5"/>
    <mergeCell ref="K5:L5"/>
    <mergeCell ref="M5:N5"/>
    <mergeCell ref="D18:F18"/>
    <mergeCell ref="G18:H19"/>
    <mergeCell ref="C10:I10"/>
    <mergeCell ref="K10:M10"/>
    <mergeCell ref="C11:N11"/>
    <mergeCell ref="C12:O12"/>
    <mergeCell ref="B13:C13"/>
    <mergeCell ref="D13:G13"/>
    <mergeCell ref="H13:J13"/>
    <mergeCell ref="K13:M13"/>
    <mergeCell ref="N13:O13"/>
    <mergeCell ref="B14:C17"/>
    <mergeCell ref="D14:G17"/>
    <mergeCell ref="H14:J17"/>
    <mergeCell ref="K14:M17"/>
    <mergeCell ref="N14:O17"/>
    <mergeCell ref="I18:J19"/>
    <mergeCell ref="G20:H24"/>
    <mergeCell ref="I20:J24"/>
    <mergeCell ref="F43:G43"/>
    <mergeCell ref="B44:C44"/>
    <mergeCell ref="F44:G44"/>
    <mergeCell ref="J44:O44"/>
    <mergeCell ref="B33:B39"/>
    <mergeCell ref="D42:H42"/>
    <mergeCell ref="J42:O43"/>
    <mergeCell ref="K18:L19"/>
    <mergeCell ref="M18:N19"/>
    <mergeCell ref="O18:O19"/>
    <mergeCell ref="B20:B24"/>
    <mergeCell ref="B18:B19"/>
    <mergeCell ref="C18:C19"/>
    <mergeCell ref="K20:L24"/>
    <mergeCell ref="M20:N24"/>
    <mergeCell ref="O20:O24"/>
    <mergeCell ref="B55:G55"/>
    <mergeCell ref="H55:L55"/>
    <mergeCell ref="M55:O55"/>
    <mergeCell ref="B52:G52"/>
    <mergeCell ref="H52:L52"/>
    <mergeCell ref="M52:O52"/>
    <mergeCell ref="B53:O53"/>
    <mergeCell ref="B54:G54"/>
    <mergeCell ref="H54:L54"/>
    <mergeCell ref="M54:O54"/>
    <mergeCell ref="B51:G51"/>
    <mergeCell ref="H51:L51"/>
    <mergeCell ref="M51:O51"/>
    <mergeCell ref="B25:B32"/>
    <mergeCell ref="B49:G49"/>
    <mergeCell ref="H49:L49"/>
    <mergeCell ref="M49:O49"/>
    <mergeCell ref="B50:O50"/>
    <mergeCell ref="B48:G48"/>
    <mergeCell ref="H48:L48"/>
    <mergeCell ref="M48:O48"/>
    <mergeCell ref="B41:O41"/>
    <mergeCell ref="B42:C43"/>
    <mergeCell ref="B46:O46"/>
    <mergeCell ref="B47:O47"/>
  </mergeCells>
  <pageMargins left="0.7" right="0.7" top="0.75" bottom="0.75" header="0.3" footer="0.3"/>
  <pageSetup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UA</vt:lpstr>
      <vt:lpstr>UA!Área_de_impresión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2025-05-09T12:44:33Z</dcterms:created>
  <dcterms:modified xsi:type="dcterms:W3CDTF">2025-08-26T00:52:44Z</dcterms:modified>
  <cp:category/>
  <cp:contentStatus/>
</cp:coreProperties>
</file>