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Unicafam/Curricular/Actualizacion_UA_2025_02/TECNOLOGÍA EN ANÁLITICA Y GESTION  DE DATOS/"/>
    </mc:Choice>
  </mc:AlternateContent>
  <xr:revisionPtr revIDLastSave="21" documentId="8_{0CF21FC4-9296-490A-9D6E-FBFFEF406CE2}" xr6:coauthVersionLast="47" xr6:coauthVersionMax="47" xr10:uidLastSave="{69DCE864-093F-4734-923F-C6CBB095C9ED}"/>
  <bookViews>
    <workbookView xWindow="-120" yWindow="-120" windowWidth="24240" windowHeight="13140" xr2:uid="{5215262C-71F8-4050-9223-2AC67CBDAC40}"/>
  </bookViews>
  <sheets>
    <sheet name="calculo integral" sheetId="7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'calculo integral'!$B$2:$O$46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7" l="1"/>
  <c r="M9" i="7" s="1"/>
  <c r="K9" i="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<sst xmlns="http://schemas.openxmlformats.org/spreadsheetml/2006/main" count="92" uniqueCount="84">
  <si>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</si>
  <si>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</si>
  <si>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</si>
  <si>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</si>
  <si>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</si>
  <si>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</si>
  <si>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</si>
  <si>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</si>
  <si>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</si>
  <si>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</si>
  <si>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CALCULO INTEGRAL</t>
  </si>
  <si>
    <t>N° Créditos:</t>
  </si>
  <si>
    <t>TFD:</t>
  </si>
  <si>
    <t>Sincrónico</t>
  </si>
  <si>
    <t>Asíncrónico</t>
  </si>
  <si>
    <t>TTI:</t>
  </si>
  <si>
    <t>METODOLOGÍA:</t>
  </si>
  <si>
    <r>
      <rPr>
        <sz val="8"/>
        <color rgb="FF000000"/>
        <rFont val="Calibri"/>
        <family val="2"/>
        <scheme val="minor"/>
      </rPr>
      <t>Presencial Asistida por Tecnología</t>
    </r>
    <r>
      <rPr>
        <sz val="10"/>
        <color rgb="FF000000"/>
        <rFont val="Calibri"/>
        <family val="2"/>
        <scheme val="minor"/>
      </rPr>
      <t xml:space="preserve">
PAT</t>
    </r>
  </si>
  <si>
    <t>PROGRAMA:</t>
  </si>
  <si>
    <t xml:space="preserve">TENOLOGÍA EN ANALISIS Y GESTIÓN DE DATOS </t>
  </si>
  <si>
    <t>SEMESTRE:</t>
  </si>
  <si>
    <t>III</t>
  </si>
  <si>
    <t>CÓDIGO:</t>
  </si>
  <si>
    <t>ÁREA DE FORMACIÓN:</t>
  </si>
  <si>
    <t>Básica</t>
  </si>
  <si>
    <t>JUSTIFICACIÓN:</t>
  </si>
  <si>
    <t xml:space="preserve">El cálculo integral  le permite al tecnologo resolver  situaciones problémicas relacionadas con las ciencias exactas, naturales y administrativas, a través de las integrales definidas e indefinidas.
Las competencias adquiridas durante y como consecuencia del desarrollo de esta unidad de aprendizaje, sirven como base para potenciar la apropiación de conocimientos, y la adquisición de competencias específicas propias de las unidades académicas del área de formación. 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</si>
  <si>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</si>
  <si>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</si>
  <si>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</si>
  <si>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</si>
  <si>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</si>
  <si>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>Apoyar la toma de decisiones mediante el uso y análisis de la información.</t>
  </si>
  <si>
    <r>
      <rPr>
        <b/>
        <sz val="11"/>
        <rFont val="Calibri"/>
        <family val="2"/>
        <scheme val="minor"/>
      </rPr>
      <t>1. Anti derivada o primitiva de una función</t>
    </r>
    <r>
      <rPr>
        <sz val="11"/>
        <rFont val="Calibri"/>
        <family val="2"/>
        <scheme val="minor"/>
      </rPr>
      <t xml:space="preserve">
1.1. El problema del área – e integración numérica
</t>
    </r>
    <r>
      <rPr>
        <b/>
        <sz val="11"/>
        <rFont val="Calibri"/>
        <family val="2"/>
        <scheme val="minor"/>
      </rPr>
      <t>2. Integral indefinida</t>
    </r>
    <r>
      <rPr>
        <sz val="11"/>
        <rFont val="Calibri"/>
        <family val="2"/>
        <scheme val="minor"/>
      </rPr>
      <t xml:space="preserve">
2.1. Reglas básicas de integración
2.2. Integración con condiciones iníciales
</t>
    </r>
    <r>
      <rPr>
        <b/>
        <sz val="11"/>
        <rFont val="Calibri"/>
        <family val="2"/>
        <scheme val="minor"/>
      </rPr>
      <t>3. Técnicas de integración.</t>
    </r>
    <r>
      <rPr>
        <sz val="11"/>
        <rFont val="Calibri"/>
        <family val="2"/>
        <scheme val="minor"/>
      </rPr>
      <t xml:space="preserve">
3.1. Integración por sustitución.
</t>
    </r>
    <r>
      <rPr>
        <b/>
        <sz val="11"/>
        <rFont val="Calibri"/>
        <family val="2"/>
        <scheme val="minor"/>
      </rPr>
      <t>4. integrales definidas – Teorema fundamental del cálculo</t>
    </r>
    <r>
      <rPr>
        <sz val="11"/>
        <rFont val="Calibri"/>
        <family val="2"/>
        <scheme val="minor"/>
      </rPr>
      <t xml:space="preserve">
4.1. Área bajo la curva
4.2. Área entre curvas
4.3  Centro de masa
4.4 Trabajo
4.5 Presión hidrostática
</t>
    </r>
    <r>
      <rPr>
        <b/>
        <sz val="11"/>
        <rFont val="Calibri"/>
        <family val="2"/>
        <scheme val="minor"/>
      </rPr>
      <t>5. Otros métodos de integración</t>
    </r>
    <r>
      <rPr>
        <sz val="11"/>
        <rFont val="Calibri"/>
        <family val="2"/>
        <scheme val="minor"/>
      </rPr>
      <t xml:space="preserve">
5.1. Integración por partes
5.2. Integrales trigonométricas
5.3. Integrales por sustitución trigonométrica
5.4. Integrales utilizando fracciones parciales
</t>
    </r>
    <r>
      <rPr>
        <b/>
        <sz val="11"/>
        <rFont val="Calibri"/>
        <family val="2"/>
        <scheme val="minor"/>
      </rPr>
      <t>6. Volumen de un sólido de revolución.</t>
    </r>
    <r>
      <rPr>
        <sz val="11"/>
        <rFont val="Calibri"/>
        <family val="2"/>
        <scheme val="minor"/>
      </rPr>
      <t xml:space="preserve">
6.1. Método de discos
6.2. Método de capas
</t>
    </r>
    <r>
      <rPr>
        <b/>
        <sz val="11"/>
        <rFont val="Calibri"/>
        <family val="2"/>
        <scheme val="minor"/>
      </rPr>
      <t>7. Integrales impropias</t>
    </r>
  </si>
  <si>
    <t>Identifica la integral de una función como su antiderivada.
Reúne los fundamentos de matemáticas en las diferentes técnicas de integración
Selecciona  el método de integración de acuerdo a la  función que se presenta como integrando y lo aplica.
Utiliza el concepto de integral para el cálculo de áreas y volúmenes.
Formula una Integral definida o indefinida  que de solución a una situación problema.</t>
  </si>
  <si>
    <t>Manifiesta disposición y actitud positiva hacia el aprendizaje de las matemáticas.
Reconoce en  las matemáticas un oportunidad de crecimiento intelectual y profesional
Demuestra rigor en la elaboración de problemas matemáticos.
Demuestra orden y pulcritud en la presentación de sus trabajos.</t>
  </si>
  <si>
    <t>Construye sus metas de aprendizaje para el desarrollo de la unidad.
Aplica y reflexiona sobre las estrategias que le permiten acceder, manejar y transformar sus conocimientos.
Reflexiona, verifica y autorregula su aprendizaje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</si>
  <si>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</si>
  <si>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</si>
  <si>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</si>
  <si>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</si>
  <si>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</si>
  <si>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</si>
  <si>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</si>
  <si>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</si>
  <si>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</si>
  <si>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</si>
  <si>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</si>
  <si>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>RA1 Apoyar la toma de decisiones mediante el uso y análisis de la información.</t>
  </si>
  <si>
    <t xml:space="preserve">Resuelve una integral a partir de la derivada de la función </t>
  </si>
  <si>
    <t xml:space="preserve">Los procedimientos matemáticos presentados  llevan una secuencia lógica, y responden a la  antiderivada del integrando presentado </t>
  </si>
  <si>
    <t xml:space="preserve">Algunos  procedimientos matemáticos presentados  llevan una secuencia lógica, y responden a la  antiderivada del integrando presentado </t>
  </si>
  <si>
    <t xml:space="preserve">Los procedimientos matemáticos presentados no llevan una secuencia lógica, ni responde a la antiderivada del integrando presentado </t>
  </si>
  <si>
    <t>Resolución de Ejercicios y Problemas.
Aprendizaje Basado en Problemas.</t>
  </si>
  <si>
    <t xml:space="preserve"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
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</si>
  <si>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</si>
  <si>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 </t>
  </si>
  <si>
    <t>Resolución de Ejercicios y Problemas.
1. Reconocimiento del problema. Comprensión.
2. Análisis, búsqueda y selección del procedimiento o plan de resolución.
3. Aplicación del procedimiento o plan seleccionado.
4. Comprobación e interpretación del resultado.
Aprendizaje Basado en Problemas. 
1. Leer y analizar el escenario o situación problema
2. Identificar los objetivos de aprendizaje 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
7. Recopilar información sobre el problema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</si>
  <si>
    <t>Usa el método de integración y los fundamentos matemáticos al momento de  determinar la antiderivada de una función.</t>
  </si>
  <si>
    <t xml:space="preserve">Los procedimientos matemáticos presentados llevan una secuencia lógica que le permiten determinar la solución a una integral a través del método y reglas de integración adecuadas </t>
  </si>
  <si>
    <t xml:space="preserve">Algunos  procedimientos matemáticos presentados llevan una secuencia lógica llegando parcialmente a  la solución de la  integral a través del método y reglas de integración </t>
  </si>
  <si>
    <t>Los procedimientos matemáticos presentados no  llevan una secuencia lógica ni  determina la solución a una integral a través del método y reglas de integración.</t>
  </si>
  <si>
    <t>Determina la solución a una situación problémica utilizando y resolviendo  integrales, aplicando reglas y métodos de integración.</t>
  </si>
  <si>
    <t xml:space="preserve">Los procedimientos matemáticos presentados llevan una secuencia lógica, determinando la solución a una  situación problémica a través de las reglas y  métodos de integración </t>
  </si>
  <si>
    <t xml:space="preserve">Algunos de los procedimientos matemáticos presentados llevan una secuencia lógica, llegando a una  solución parcial de la  situación problémica a través de las reglas y  métodos de integración </t>
  </si>
  <si>
    <t xml:space="preserve">Los procedimientos matemáticos presentados no llevan una secuencia lógica, ni determina la solución a una  situación problémica a través de las reglas y  métodos de integración </t>
  </si>
  <si>
    <t xml:space="preserve">RECURSOS DE APOYO </t>
  </si>
  <si>
    <t>Aula virtual
Software https://www.mathworks.com/products/matlab.html
Software GeoGebra License; Non-commercial freeware; portions under General Public License (GPL).Wolfram alpha recursos gratuitos 
Phet. Simulaciones interactivas de ciencias y matemáticas. Disponible en: https://phet.colorado.edu/es/
Microsoft 365, incluye Microsoft Office (Word, Excel, PowerPoint, Publisher, Access, Power BI, OneNote, Outlook, Project y Visio), Licencia Universitaria. 
EBSCO Information Services
E-Collection (ISO) (iCONTEC)
E Libro
https://www.unicafam.edu.co/index.php/biblioteca-craiin/</t>
  </si>
  <si>
    <t xml:space="preserve">BIBLIOGRAFÍA  </t>
  </si>
  <si>
    <t>Labarca Briones, R. (2014). Cálculo en una variable: ( ed.). Editorial Universidad de Santiago de Chile. https://elibro.unicafam.elogim.com/es/lc/unicafam/titulos/68402
James Stewart. (2008) Calculus Early Transcendentals. Sixth Edition (6E), Brooks-Cole/CENGAGE Learning.
 John Bird. (2014). Higher Engineering Mathematics. Elsevier
Larson, R. (2010). Cálculo 1. McGraw-Hill.</t>
  </si>
  <si>
    <t>CONTROL DE CAMBIOS</t>
  </si>
  <si>
    <t>FECHA DE APROBACIÓN</t>
  </si>
  <si>
    <t>DESCRIPCIÓN DEL CAMBIO</t>
  </si>
  <si>
    <t>DD</t>
  </si>
  <si>
    <t>MM</t>
  </si>
  <si>
    <t>AAAA</t>
  </si>
  <si>
    <t>Se revisa justificación con base en perfil de egreso. Modifica estrategias de evaluación, evidencias de conocimiento, desempeño y producto. Cambio de formato.</t>
  </si>
  <si>
    <t>CONTROL DE DOCUMENTOS</t>
  </si>
  <si>
    <t>ELABORO</t>
  </si>
  <si>
    <t>NOMBRES Y APELLIDOS</t>
  </si>
  <si>
    <t>CARGO</t>
  </si>
  <si>
    <t>FIRMA</t>
  </si>
  <si>
    <t>REVISO</t>
  </si>
  <si>
    <t>APROBÓ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</si>
</sst>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rgb="FF404040"/>
      <name val="Calibri"/>
      <family val="2"/>
    </font>
    <font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8">
    <xf numFmtId="0" fontId="0" fillId="0" borderId="0" xfId="0"/>
    <xf numFmtId="0" fontId="9" fillId="0" borderId="10" xfId="0" applyFont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0" fillId="5" borderId="0" xfId="0" applyFill="1"/>
    <xf numFmtId="0" fontId="6" fillId="2" borderId="6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28" xfId="0" applyBorder="1"/>
    <xf numFmtId="0" fontId="5" fillId="0" borderId="32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12" fillId="6" borderId="10" xfId="0" applyFont="1" applyFill="1" applyBorder="1" applyAlignment="1" applyProtection="1">
      <alignment horizontal="center" vertical="center" wrapText="1"/>
      <protection hidden="1"/>
    </xf>
    <xf numFmtId="0" fontId="12" fillId="6" borderId="9" xfId="0" applyFont="1" applyFill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0" fontId="13" fillId="5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top" wrapText="1"/>
    </xf>
    <xf numFmtId="0" fontId="14" fillId="0" borderId="31" xfId="0" applyFont="1" applyBorder="1" applyAlignment="1">
      <alignment horizontal="left" vertical="top" wrapText="1"/>
    </xf>
    <xf numFmtId="0" fontId="14" fillId="0" borderId="27" xfId="0" applyFont="1" applyBorder="1" applyAlignment="1">
      <alignment horizontal="left" vertical="top" wrapText="1"/>
    </xf>
    <xf numFmtId="0" fontId="0" fillId="3" borderId="10" xfId="0" applyFill="1" applyBorder="1"/>
    <xf numFmtId="0" fontId="12" fillId="6" borderId="10" xfId="0" applyFont="1" applyFill="1" applyBorder="1" applyAlignment="1" applyProtection="1">
      <alignment vertical="center" wrapText="1"/>
      <protection hidden="1"/>
    </xf>
    <xf numFmtId="0" fontId="6" fillId="2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top" wrapText="1"/>
    </xf>
    <xf numFmtId="0" fontId="7" fillId="0" borderId="41" xfId="0" applyFont="1" applyBorder="1" applyAlignment="1">
      <alignment horizontal="left" vertical="top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 applyProtection="1">
      <alignment horizontal="center" vertical="center" wrapText="1"/>
      <protection hidden="1"/>
    </xf>
    <xf numFmtId="0" fontId="12" fillId="6" borderId="22" xfId="0" applyFont="1" applyFill="1" applyBorder="1" applyAlignment="1" applyProtection="1">
      <alignment horizontal="center" vertical="center" wrapText="1"/>
      <protection hidden="1"/>
    </xf>
    <xf numFmtId="0" fontId="12" fillId="6" borderId="23" xfId="0" applyFont="1" applyFill="1" applyBorder="1" applyAlignment="1" applyProtection="1">
      <alignment horizontal="center" vertical="center" wrapText="1"/>
      <protection hidden="1"/>
    </xf>
    <xf numFmtId="0" fontId="12" fillId="6" borderId="24" xfId="0" applyFont="1" applyFill="1" applyBorder="1" applyAlignment="1" applyProtection="1">
      <alignment horizontal="center" vertical="center" wrapText="1"/>
      <protection hidden="1"/>
    </xf>
    <xf numFmtId="0" fontId="12" fillId="6" borderId="33" xfId="0" applyFont="1" applyFill="1" applyBorder="1" applyAlignment="1" applyProtection="1">
      <alignment horizontal="center" vertical="center" wrapText="1"/>
      <protection hidden="1"/>
    </xf>
    <xf numFmtId="0" fontId="12" fillId="6" borderId="34" xfId="0" applyFont="1" applyFill="1" applyBorder="1" applyAlignment="1" applyProtection="1">
      <alignment horizontal="center" vertical="center" wrapText="1"/>
      <protection hidden="1"/>
    </xf>
    <xf numFmtId="0" fontId="12" fillId="6" borderId="31" xfId="0" applyFont="1" applyFill="1" applyBorder="1" applyAlignment="1" applyProtection="1">
      <alignment horizontal="center" vertical="center" wrapText="1"/>
      <protection hidden="1"/>
    </xf>
    <xf numFmtId="0" fontId="7" fillId="3" borderId="10" xfId="0" applyFont="1" applyFill="1" applyBorder="1" applyAlignment="1">
      <alignment horizontal="left" vertical="top" wrapText="1"/>
    </xf>
    <xf numFmtId="0" fontId="7" fillId="3" borderId="23" xfId="0" applyFont="1" applyFill="1" applyBorder="1" applyAlignment="1">
      <alignment horizontal="left" vertical="top" wrapText="1"/>
    </xf>
    <xf numFmtId="0" fontId="7" fillId="3" borderId="24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27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7" fillId="3" borderId="22" xfId="0" applyFont="1" applyFill="1" applyBorder="1" applyAlignment="1">
      <alignment vertical="top" wrapText="1"/>
    </xf>
    <xf numFmtId="0" fontId="7" fillId="3" borderId="23" xfId="0" applyFont="1" applyFill="1" applyBorder="1" applyAlignment="1">
      <alignment vertical="top" wrapText="1"/>
    </xf>
    <xf numFmtId="0" fontId="7" fillId="3" borderId="24" xfId="0" applyFont="1" applyFill="1" applyBorder="1" applyAlignment="1">
      <alignment vertical="top" wrapText="1"/>
    </xf>
    <xf numFmtId="0" fontId="7" fillId="3" borderId="26" xfId="0" applyFont="1" applyFill="1" applyBorder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7" fillId="3" borderId="27" xfId="0" applyFont="1" applyFill="1" applyBorder="1" applyAlignment="1">
      <alignment vertical="top" wrapText="1"/>
    </xf>
    <xf numFmtId="0" fontId="7" fillId="3" borderId="22" xfId="0" applyFont="1" applyFill="1" applyBorder="1" applyAlignment="1">
      <alignment horizontal="left" vertical="top" wrapText="1"/>
    </xf>
    <xf numFmtId="0" fontId="7" fillId="3" borderId="25" xfId="0" applyFont="1" applyFill="1" applyBorder="1" applyAlignment="1">
      <alignment horizontal="left" vertical="top" wrapText="1"/>
    </xf>
    <xf numFmtId="0" fontId="7" fillId="3" borderId="26" xfId="0" applyFont="1" applyFill="1" applyBorder="1" applyAlignment="1">
      <alignment horizontal="left" vertical="top" wrapText="1"/>
    </xf>
    <xf numFmtId="0" fontId="7" fillId="3" borderId="28" xfId="0" applyFont="1" applyFill="1" applyBorder="1" applyAlignment="1">
      <alignment horizontal="left" vertical="top" wrapText="1"/>
    </xf>
    <xf numFmtId="0" fontId="7" fillId="3" borderId="15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 applyProtection="1">
      <alignment horizontal="center" vertical="center" wrapText="1"/>
      <protection hidden="1"/>
    </xf>
    <xf numFmtId="0" fontId="8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0" fillId="4" borderId="10" xfId="0" applyFont="1" applyFill="1" applyBorder="1" applyAlignment="1">
      <alignment horizontal="center" vertical="center" wrapText="1"/>
    </xf>
    <xf numFmtId="0" fontId="13" fillId="0" borderId="7" xfId="0" applyFont="1" applyBorder="1" applyAlignment="1" applyProtection="1">
      <alignment horizontal="center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0" fontId="7" fillId="0" borderId="16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</cellXfs>
  <cellStyles count="3">
    <cellStyle name="Normal" xfId="0" builtinId="0"/>
    <cellStyle name="Normal 2 4 3" xfId="1" xr:uid="{707F6A04-57DC-4545-97E3-88866E5B772B}"/>
    <cellStyle name="Normal 3 7" xfId="2" xr:uid="{EE0F8EDF-03C8-467C-83A9-11CA5C0BF7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4E90-01B2-4583-BAEE-4C6E586E6075}">
  <sheetPr>
    <tabColor theme="8"/>
  </sheetPr>
  <dimension ref="B2:O46"/>
  <sheetViews>
    <sheetView tabSelected="1" topLeftCell="I16" workbookViewId="0">
      <selection activeCell="R21" sqref="R21"/>
    </sheetView>
  </sheetViews>
  <sheetFormatPr defaultColWidth="10.85546875" defaultRowHeight="15"/>
  <cols>
    <col min="1" max="1" width="5.7109375" style="3" customWidth="1"/>
    <col min="2" max="6" width="24.7109375" style="3" customWidth="1"/>
    <col min="7" max="14" width="12.7109375" style="3" customWidth="1"/>
    <col min="15" max="15" width="24.7109375" style="3" customWidth="1"/>
    <col min="16" max="16" width="5.85546875" style="3" customWidth="1"/>
    <col min="17" max="17" width="10.85546875" style="3"/>
    <col min="18" max="18" width="14" style="3" customWidth="1"/>
    <col min="19" max="16384" width="10.85546875" style="3"/>
  </cols>
  <sheetData>
    <row r="2" spans="2:15" ht="25.5" customHeight="1">
      <c r="B2" s="125" t="e" vm="1">
        <v>#VALUE!</v>
      </c>
      <c r="C2" s="88" t="s">
        <v>0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2:15" ht="24" customHeight="1">
      <c r="B3" s="125"/>
      <c r="C3" s="126" t="s">
        <v>1</v>
      </c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</row>
    <row r="4" spans="2:15" ht="24" customHeight="1"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</row>
    <row r="5" spans="2:15" ht="20.100000000000001" customHeight="1">
      <c r="B5" s="2" t="s">
        <v>2</v>
      </c>
      <c r="C5" s="1" t="s">
        <v>3</v>
      </c>
      <c r="D5" s="88" t="s">
        <v>4</v>
      </c>
      <c r="E5" s="88"/>
      <c r="F5" s="88"/>
      <c r="G5" s="1">
        <v>1</v>
      </c>
      <c r="H5" s="88" t="s">
        <v>5</v>
      </c>
      <c r="I5" s="88"/>
      <c r="J5" s="88"/>
      <c r="K5" s="127"/>
      <c r="L5" s="127"/>
      <c r="M5" s="88" t="s">
        <v>6</v>
      </c>
      <c r="N5" s="88"/>
      <c r="O5" s="1" t="s">
        <v>7</v>
      </c>
    </row>
    <row r="6" spans="2:15" ht="20.100000000000001" customHeight="1"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</row>
    <row r="7" spans="2:15" ht="20.100000000000001" customHeight="1" thickBot="1">
      <c r="B7" s="109" t="s">
        <v>8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</row>
    <row r="8" spans="2:15" ht="18" customHeight="1">
      <c r="B8" s="120" t="s">
        <v>9</v>
      </c>
      <c r="C8" s="112" t="s">
        <v>10</v>
      </c>
      <c r="D8" s="112"/>
      <c r="E8" s="112"/>
      <c r="F8" s="112"/>
      <c r="G8" s="95" t="s">
        <v>11</v>
      </c>
      <c r="H8" s="114">
        <v>3</v>
      </c>
      <c r="I8" s="95" t="s">
        <v>12</v>
      </c>
      <c r="J8" s="19" t="s">
        <v>13</v>
      </c>
      <c r="K8" s="19" t="s">
        <v>14</v>
      </c>
      <c r="L8" s="29" t="s">
        <v>15</v>
      </c>
      <c r="M8" s="19" t="s">
        <v>14</v>
      </c>
      <c r="N8" s="118" t="s">
        <v>16</v>
      </c>
      <c r="O8" s="116" t="s">
        <v>17</v>
      </c>
    </row>
    <row r="9" spans="2:15" ht="18" customHeight="1">
      <c r="B9" s="121"/>
      <c r="C9" s="111"/>
      <c r="D9" s="111"/>
      <c r="E9" s="111"/>
      <c r="F9" s="111"/>
      <c r="G9" s="113"/>
      <c r="H9" s="115"/>
      <c r="I9" s="113"/>
      <c r="J9" s="26">
        <f>H8*16</f>
        <v>48</v>
      </c>
      <c r="K9" s="26">
        <f>0*8</f>
        <v>0</v>
      </c>
      <c r="L9" s="28"/>
      <c r="M9" s="26">
        <f>J9*2</f>
        <v>96</v>
      </c>
      <c r="N9" s="119"/>
      <c r="O9" s="117"/>
    </row>
    <row r="10" spans="2:15" ht="15.95" customHeight="1">
      <c r="B10" s="4" t="s">
        <v>18</v>
      </c>
      <c r="C10" s="111" t="s">
        <v>19</v>
      </c>
      <c r="D10" s="111"/>
      <c r="E10" s="111"/>
      <c r="F10" s="111"/>
      <c r="G10" s="111"/>
      <c r="H10" s="111"/>
      <c r="I10" s="111"/>
      <c r="J10" s="25" t="s">
        <v>20</v>
      </c>
      <c r="K10" s="110" t="s">
        <v>21</v>
      </c>
      <c r="L10" s="110"/>
      <c r="M10" s="110"/>
      <c r="N10" s="25" t="s">
        <v>22</v>
      </c>
      <c r="O10" s="27">
        <v>14029140301</v>
      </c>
    </row>
    <row r="11" spans="2:15" ht="15.95" customHeight="1" thickBot="1">
      <c r="B11" s="5" t="s">
        <v>23</v>
      </c>
      <c r="C11" s="122" t="s">
        <v>24</v>
      </c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4"/>
    </row>
    <row r="12" spans="2:15" ht="55.5" customHeight="1" thickBot="1">
      <c r="B12" s="30" t="s">
        <v>25</v>
      </c>
      <c r="C12" s="31" t="s">
        <v>26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2"/>
    </row>
    <row r="13" spans="2:15" ht="30" customHeight="1">
      <c r="B13" s="33" t="s">
        <v>27</v>
      </c>
      <c r="C13" s="34"/>
      <c r="D13" s="35" t="s">
        <v>28</v>
      </c>
      <c r="E13" s="36"/>
      <c r="F13" s="36"/>
      <c r="G13" s="34"/>
      <c r="H13" s="35" t="s">
        <v>29</v>
      </c>
      <c r="I13" s="36"/>
      <c r="J13" s="36"/>
      <c r="K13" s="36" t="s">
        <v>30</v>
      </c>
      <c r="L13" s="36"/>
      <c r="M13" s="34"/>
      <c r="N13" s="35" t="s">
        <v>31</v>
      </c>
      <c r="O13" s="37"/>
    </row>
    <row r="14" spans="2:15" ht="114" customHeight="1">
      <c r="B14" s="56" t="s">
        <v>32</v>
      </c>
      <c r="C14" s="57"/>
      <c r="D14" s="58" t="s">
        <v>33</v>
      </c>
      <c r="E14" s="59"/>
      <c r="F14" s="59"/>
      <c r="G14" s="60"/>
      <c r="H14" s="45" t="s">
        <v>34</v>
      </c>
      <c r="I14" s="45"/>
      <c r="J14" s="45"/>
      <c r="K14" s="46" t="s">
        <v>35</v>
      </c>
      <c r="L14" s="46"/>
      <c r="M14" s="47"/>
      <c r="N14" s="64" t="s">
        <v>36</v>
      </c>
      <c r="O14" s="65"/>
    </row>
    <row r="15" spans="2:15" ht="114" customHeight="1">
      <c r="B15" s="56"/>
      <c r="C15" s="57"/>
      <c r="D15" s="61"/>
      <c r="E15" s="62"/>
      <c r="F15" s="62"/>
      <c r="G15" s="63"/>
      <c r="H15" s="45"/>
      <c r="I15" s="45"/>
      <c r="J15" s="45"/>
      <c r="K15" s="48"/>
      <c r="L15" s="48"/>
      <c r="M15" s="49"/>
      <c r="N15" s="66"/>
      <c r="O15" s="67"/>
    </row>
    <row r="16" spans="2:15" ht="114" customHeight="1" thickBot="1">
      <c r="B16" s="56"/>
      <c r="C16" s="57"/>
      <c r="D16" s="61"/>
      <c r="E16" s="62"/>
      <c r="F16" s="62"/>
      <c r="G16" s="63"/>
      <c r="H16" s="45"/>
      <c r="I16" s="45"/>
      <c r="J16" s="45"/>
      <c r="K16" s="48"/>
      <c r="L16" s="48"/>
      <c r="M16" s="49"/>
      <c r="N16" s="66"/>
      <c r="O16" s="67"/>
    </row>
    <row r="17" spans="2:15" ht="30" customHeight="1">
      <c r="B17" s="93" t="s">
        <v>37</v>
      </c>
      <c r="C17" s="95" t="s">
        <v>38</v>
      </c>
      <c r="D17" s="105" t="s">
        <v>39</v>
      </c>
      <c r="E17" s="106"/>
      <c r="F17" s="107"/>
      <c r="G17" s="99" t="s">
        <v>40</v>
      </c>
      <c r="H17" s="100"/>
      <c r="I17" s="103" t="s">
        <v>41</v>
      </c>
      <c r="J17" s="104"/>
      <c r="K17" s="50" t="s">
        <v>42</v>
      </c>
      <c r="L17" s="97"/>
      <c r="M17" s="50" t="s">
        <v>43</v>
      </c>
      <c r="N17" s="51"/>
      <c r="O17" s="54" t="s">
        <v>44</v>
      </c>
    </row>
    <row r="18" spans="2:15" ht="15" customHeight="1" thickBot="1">
      <c r="B18" s="94"/>
      <c r="C18" s="96"/>
      <c r="D18" s="8" t="s">
        <v>45</v>
      </c>
      <c r="E18" s="8" t="s">
        <v>46</v>
      </c>
      <c r="F18" s="8" t="s">
        <v>47</v>
      </c>
      <c r="G18" s="101"/>
      <c r="H18" s="102"/>
      <c r="I18" s="52"/>
      <c r="J18" s="53"/>
      <c r="K18" s="52"/>
      <c r="L18" s="98"/>
      <c r="M18" s="52"/>
      <c r="N18" s="53"/>
      <c r="O18" s="55"/>
    </row>
    <row r="19" spans="2:15" ht="99.75" customHeight="1">
      <c r="B19" s="68" t="s">
        <v>48</v>
      </c>
      <c r="C19" s="20" t="s">
        <v>49</v>
      </c>
      <c r="D19" s="20" t="s">
        <v>50</v>
      </c>
      <c r="E19" s="20" t="s">
        <v>51</v>
      </c>
      <c r="F19" s="20" t="s">
        <v>52</v>
      </c>
      <c r="G19" s="70" t="s">
        <v>53</v>
      </c>
      <c r="H19" s="71"/>
      <c r="I19" s="76" t="s">
        <v>54</v>
      </c>
      <c r="J19" s="77"/>
      <c r="K19" s="76" t="s">
        <v>55</v>
      </c>
      <c r="L19" s="77"/>
      <c r="M19" s="76" t="s">
        <v>56</v>
      </c>
      <c r="N19" s="77"/>
      <c r="O19" s="92" t="s">
        <v>57</v>
      </c>
    </row>
    <row r="20" spans="2:15" ht="121.5" customHeight="1">
      <c r="B20" s="68"/>
      <c r="C20" s="21" t="s">
        <v>58</v>
      </c>
      <c r="D20" s="21" t="s">
        <v>59</v>
      </c>
      <c r="E20" s="21" t="s">
        <v>60</v>
      </c>
      <c r="F20" s="21" t="s">
        <v>61</v>
      </c>
      <c r="G20" s="72"/>
      <c r="H20" s="73"/>
      <c r="I20" s="78"/>
      <c r="J20" s="79"/>
      <c r="K20" s="78"/>
      <c r="L20" s="79"/>
      <c r="M20" s="78"/>
      <c r="N20" s="79"/>
      <c r="O20" s="92"/>
    </row>
    <row r="21" spans="2:15" ht="135.75" customHeight="1" thickBot="1">
      <c r="B21" s="68"/>
      <c r="C21" s="22" t="s">
        <v>62</v>
      </c>
      <c r="D21" s="22" t="s">
        <v>63</v>
      </c>
      <c r="E21" s="22" t="s">
        <v>64</v>
      </c>
      <c r="F21" s="22" t="s">
        <v>65</v>
      </c>
      <c r="G21" s="74"/>
      <c r="H21" s="75"/>
      <c r="I21" s="80"/>
      <c r="J21" s="81"/>
      <c r="K21" s="80"/>
      <c r="L21" s="81"/>
      <c r="M21" s="80"/>
      <c r="N21" s="81"/>
      <c r="O21" s="92"/>
    </row>
    <row r="22" spans="2:15" ht="15.75" hidden="1" thickBot="1">
      <c r="B22" s="9"/>
      <c r="C22" s="10"/>
      <c r="D22" s="11"/>
      <c r="E22" s="11"/>
      <c r="F22" s="11"/>
      <c r="G22" s="11"/>
      <c r="H22" s="11"/>
      <c r="I22" s="11"/>
      <c r="J22"/>
      <c r="K22"/>
      <c r="L22"/>
      <c r="M22"/>
      <c r="N22"/>
      <c r="O22" s="12"/>
    </row>
    <row r="23" spans="2:15" ht="15.75" hidden="1" thickBot="1">
      <c r="B23" s="9"/>
      <c r="C23" s="10"/>
      <c r="D23" s="11"/>
      <c r="E23" s="11"/>
      <c r="F23" s="11"/>
      <c r="G23" s="11"/>
      <c r="H23" s="11"/>
      <c r="I23" s="11"/>
      <c r="J23"/>
      <c r="K23"/>
      <c r="L23"/>
      <c r="M23"/>
      <c r="N23"/>
      <c r="O23" s="12"/>
    </row>
    <row r="24" spans="2:15" ht="15.75" hidden="1" thickBot="1">
      <c r="B24" s="9"/>
      <c r="C24" s="10"/>
      <c r="D24" s="11"/>
      <c r="E24" s="11"/>
      <c r="F24" s="11"/>
      <c r="G24" s="11"/>
      <c r="H24" s="11"/>
      <c r="I24" s="11"/>
      <c r="J24"/>
      <c r="K24"/>
      <c r="L24"/>
      <c r="M24"/>
      <c r="N24"/>
      <c r="O24" s="12"/>
    </row>
    <row r="25" spans="2:15" ht="15.75" hidden="1" thickBot="1">
      <c r="B25" s="9"/>
      <c r="C25" s="10"/>
      <c r="D25" s="11"/>
      <c r="E25" s="11"/>
      <c r="F25" s="11"/>
      <c r="G25" s="11"/>
      <c r="H25" s="11"/>
      <c r="I25" s="11"/>
      <c r="J25"/>
      <c r="K25"/>
      <c r="L25"/>
      <c r="M25"/>
      <c r="N25"/>
      <c r="O25" s="12"/>
    </row>
    <row r="26" spans="2:15" ht="15.75" hidden="1" thickBot="1">
      <c r="B26" s="9"/>
      <c r="C26" s="10"/>
      <c r="D26" s="11"/>
      <c r="E26" s="11"/>
      <c r="F26" s="11"/>
      <c r="G26" s="11"/>
      <c r="H26" s="11"/>
      <c r="I26" s="11"/>
      <c r="J26"/>
      <c r="K26"/>
      <c r="L26"/>
      <c r="M26"/>
      <c r="N26"/>
      <c r="O26" s="12"/>
    </row>
    <row r="27" spans="2:15" ht="15.75" hidden="1" thickBot="1">
      <c r="B27" s="9"/>
      <c r="C27" s="10"/>
      <c r="D27" s="11"/>
      <c r="E27" s="11"/>
      <c r="F27" s="11"/>
      <c r="G27" s="11"/>
      <c r="H27" s="11"/>
      <c r="I27" s="11"/>
      <c r="J27"/>
      <c r="K27"/>
      <c r="L27"/>
      <c r="M27"/>
      <c r="N27"/>
      <c r="O27" s="12"/>
    </row>
    <row r="28" spans="2:15" ht="15.75" hidden="1" thickBot="1">
      <c r="B28" s="13"/>
      <c r="C28" s="14"/>
      <c r="D28" s="11"/>
      <c r="E28" s="11"/>
      <c r="F28" s="11"/>
      <c r="G28" s="11"/>
      <c r="H28" s="11"/>
      <c r="I28" s="11"/>
      <c r="J28"/>
      <c r="K28"/>
      <c r="L28"/>
      <c r="M28"/>
      <c r="N28"/>
      <c r="O28" s="12"/>
    </row>
    <row r="29" spans="2:15" ht="150.75" customHeight="1">
      <c r="B29" s="6" t="s">
        <v>66</v>
      </c>
      <c r="C29" s="82" t="s">
        <v>67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4"/>
    </row>
    <row r="30" spans="2:15" ht="83.25" customHeight="1" thickBot="1">
      <c r="B30" s="7" t="s">
        <v>68</v>
      </c>
      <c r="C30" s="85" t="s">
        <v>69</v>
      </c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6"/>
    </row>
    <row r="32" spans="2:15" ht="24.75" customHeight="1">
      <c r="B32" s="42" t="s">
        <v>70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</row>
    <row r="33" spans="2:15" ht="24.75" customHeight="1">
      <c r="B33" s="38" t="s">
        <v>4</v>
      </c>
      <c r="C33" s="38"/>
      <c r="D33" s="38" t="s">
        <v>71</v>
      </c>
      <c r="E33" s="38"/>
      <c r="F33" s="38"/>
      <c r="G33" s="39" t="s">
        <v>72</v>
      </c>
      <c r="H33" s="40"/>
      <c r="I33" s="40"/>
      <c r="J33" s="40"/>
      <c r="K33" s="40"/>
      <c r="L33" s="40"/>
      <c r="M33" s="40"/>
      <c r="N33" s="40"/>
      <c r="O33" s="41"/>
    </row>
    <row r="34" spans="2:15" ht="24.75" customHeight="1">
      <c r="B34" s="38"/>
      <c r="C34" s="38"/>
      <c r="D34" s="16" t="s">
        <v>73</v>
      </c>
      <c r="E34" s="15" t="s">
        <v>74</v>
      </c>
      <c r="F34" s="24" t="s">
        <v>75</v>
      </c>
      <c r="G34" s="42"/>
      <c r="H34" s="43"/>
      <c r="I34" s="43"/>
      <c r="J34" s="43"/>
      <c r="K34" s="43"/>
      <c r="L34" s="43"/>
      <c r="M34" s="43"/>
      <c r="N34" s="43"/>
      <c r="O34" s="44"/>
    </row>
    <row r="35" spans="2:15" ht="24.75" customHeight="1">
      <c r="B35" s="87">
        <v>2</v>
      </c>
      <c r="C35" s="87"/>
      <c r="D35" s="17"/>
      <c r="E35" s="17"/>
      <c r="F35" s="23"/>
      <c r="G35" s="89" t="s">
        <v>76</v>
      </c>
      <c r="H35" s="90"/>
      <c r="I35" s="90"/>
      <c r="J35" s="90"/>
      <c r="K35" s="90"/>
      <c r="L35" s="90"/>
      <c r="M35" s="90"/>
      <c r="N35" s="90"/>
      <c r="O35" s="91"/>
    </row>
    <row r="36" spans="2:15" ht="24.75" customHeight="1">
      <c r="B36" s="18"/>
      <c r="G36" s="18"/>
      <c r="H36" s="18"/>
      <c r="I36" s="18"/>
    </row>
    <row r="37" spans="2:15" ht="24.75" customHeight="1">
      <c r="B37" s="88" t="s">
        <v>77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</row>
    <row r="38" spans="2:15" ht="24.75" customHeight="1">
      <c r="B38" s="88" t="s">
        <v>78</v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</row>
    <row r="39" spans="2:15" ht="24.75" customHeight="1">
      <c r="B39" s="38" t="s">
        <v>79</v>
      </c>
      <c r="C39" s="38"/>
      <c r="D39" s="38"/>
      <c r="E39" s="38"/>
      <c r="F39" s="38"/>
      <c r="G39" s="38"/>
      <c r="H39" s="38" t="s">
        <v>80</v>
      </c>
      <c r="I39" s="38"/>
      <c r="J39" s="38"/>
      <c r="K39" s="38"/>
      <c r="L39" s="38"/>
      <c r="M39" s="38" t="s">
        <v>81</v>
      </c>
      <c r="N39" s="38"/>
      <c r="O39" s="38"/>
    </row>
    <row r="40" spans="2:15" ht="24.75" customHeight="1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</row>
    <row r="41" spans="2:15" ht="24.75" customHeight="1">
      <c r="B41" s="38" t="s">
        <v>82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2:15" ht="24.75" customHeight="1">
      <c r="B42" s="38" t="s">
        <v>79</v>
      </c>
      <c r="C42" s="38"/>
      <c r="D42" s="38"/>
      <c r="E42" s="38"/>
      <c r="F42" s="38"/>
      <c r="G42" s="38"/>
      <c r="H42" s="38" t="s">
        <v>80</v>
      </c>
      <c r="I42" s="38"/>
      <c r="J42" s="38"/>
      <c r="K42" s="38"/>
      <c r="L42" s="38"/>
      <c r="M42" s="38" t="s">
        <v>81</v>
      </c>
      <c r="N42" s="38"/>
      <c r="O42" s="38"/>
    </row>
    <row r="43" spans="2:15" ht="24.75" customHeight="1"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</row>
    <row r="44" spans="2:15" ht="24.75" customHeight="1">
      <c r="B44" s="38" t="s">
        <v>83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2:15" ht="24.75" customHeight="1">
      <c r="B45" s="38" t="s">
        <v>79</v>
      </c>
      <c r="C45" s="38"/>
      <c r="D45" s="38"/>
      <c r="E45" s="38"/>
      <c r="F45" s="38"/>
      <c r="G45" s="38"/>
      <c r="H45" s="38" t="s">
        <v>80</v>
      </c>
      <c r="I45" s="38"/>
      <c r="J45" s="38"/>
      <c r="K45" s="38"/>
      <c r="L45" s="38"/>
      <c r="M45" s="38" t="s">
        <v>81</v>
      </c>
      <c r="N45" s="38"/>
      <c r="O45" s="38"/>
    </row>
    <row r="46" spans="2:15" ht="24.75" customHeight="1"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</row>
  </sheetData>
  <mergeCells count="74">
    <mergeCell ref="C11:O11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K10:M10"/>
    <mergeCell ref="C10:I10"/>
    <mergeCell ref="C8:F9"/>
    <mergeCell ref="G8:G9"/>
    <mergeCell ref="H8:H9"/>
    <mergeCell ref="I8:I9"/>
    <mergeCell ref="O8:O9"/>
    <mergeCell ref="N8:N9"/>
    <mergeCell ref="B8:B9"/>
    <mergeCell ref="O19:O21"/>
    <mergeCell ref="B17:B18"/>
    <mergeCell ref="C17:C18"/>
    <mergeCell ref="K17:L18"/>
    <mergeCell ref="G17:H18"/>
    <mergeCell ref="I17:J18"/>
    <mergeCell ref="D17:F17"/>
    <mergeCell ref="B39:G39"/>
    <mergeCell ref="H39:L39"/>
    <mergeCell ref="M39:O39"/>
    <mergeCell ref="C29:O29"/>
    <mergeCell ref="C30:O30"/>
    <mergeCell ref="B32:O32"/>
    <mergeCell ref="B33:C34"/>
    <mergeCell ref="B35:C35"/>
    <mergeCell ref="B37:O37"/>
    <mergeCell ref="B38:O38"/>
    <mergeCell ref="G35:O35"/>
    <mergeCell ref="M40:O40"/>
    <mergeCell ref="B41:O41"/>
    <mergeCell ref="B42:G42"/>
    <mergeCell ref="H42:L42"/>
    <mergeCell ref="M42:O42"/>
    <mergeCell ref="B46:G46"/>
    <mergeCell ref="H46:L46"/>
    <mergeCell ref="M46:O46"/>
    <mergeCell ref="G19:H21"/>
    <mergeCell ref="I19:J21"/>
    <mergeCell ref="K19:L21"/>
    <mergeCell ref="M19:N21"/>
    <mergeCell ref="B43:G43"/>
    <mergeCell ref="H43:L43"/>
    <mergeCell ref="M43:O43"/>
    <mergeCell ref="B44:O44"/>
    <mergeCell ref="B45:G45"/>
    <mergeCell ref="H45:L45"/>
    <mergeCell ref="M45:O45"/>
    <mergeCell ref="B40:G40"/>
    <mergeCell ref="H40:L40"/>
    <mergeCell ref="C12:O12"/>
    <mergeCell ref="B13:C13"/>
    <mergeCell ref="D13:G13"/>
    <mergeCell ref="N13:O13"/>
    <mergeCell ref="D33:F33"/>
    <mergeCell ref="G33:O34"/>
    <mergeCell ref="H13:J13"/>
    <mergeCell ref="H14:J16"/>
    <mergeCell ref="K13:M13"/>
    <mergeCell ref="K14:M16"/>
    <mergeCell ref="M17:N18"/>
    <mergeCell ref="O17:O18"/>
    <mergeCell ref="B14:C16"/>
    <mergeCell ref="D14:G16"/>
    <mergeCell ref="N14:O16"/>
    <mergeCell ref="B19:B21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Maria Camila Vasquez Diaz</cp:lastModifiedBy>
  <cp:revision/>
  <dcterms:created xsi:type="dcterms:W3CDTF">2023-11-07T19:05:59Z</dcterms:created>
  <dcterms:modified xsi:type="dcterms:W3CDTF">2025-11-06T15:45:10Z</dcterms:modified>
  <cp:category/>
  <cp:contentStatus/>
</cp:coreProperties>
</file>