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https://unicafamnet-my.sharepoint.com/personal/fulbia_ceron_unicafam_edu_co/Documents/Unicafam/Curricular/Actualizacion_UA_2025_02/TECNOLOGÍA EN GESTION Y ANÁLITICA DE DATOS/"/>
    </mc:Choice>
  </mc:AlternateContent>
  <xr:revisionPtr revIDLastSave="5" documentId="8_{A85B2A50-9CB1-4A37-9413-124155C379E8}" xr6:coauthVersionLast="47" xr6:coauthVersionMax="47" xr10:uidLastSave="{70A85DCF-5707-4424-8DB9-FFCB96831668}"/>
  <bookViews>
    <workbookView xWindow="-120" yWindow="-120" windowWidth="29040" windowHeight="15720" xr2:uid="{073C78CB-1153-4E28-9EA5-E6B24BEE004B}"/>
  </bookViews>
  <sheets>
    <sheet name="UA" sheetId="1" r:id="rId1"/>
  </sheets>
  <externalReferences>
    <externalReference r:id="rId2"/>
    <externalReference r:id="rId3"/>
    <externalReference r:id="rId4"/>
    <externalReference r:id="rId5"/>
    <externalReference r:id="rId6"/>
  </externalReferences>
  <definedNames>
    <definedName name="_xlnm.Print_Area" localSheetId="0">UA!$B$2:$O$54</definedName>
    <definedName name="Competencias">[1]MaestroCompetencias!$B$2:$B$11</definedName>
    <definedName name="CRÉDITOS">'[2]Códigos '!$AK$70:$AK$74</definedName>
    <definedName name="DatosCompleto">[3]MaestroUA!$B$2:$M$89</definedName>
    <definedName name="ingenieria">#REF!</definedName>
    <definedName name="RedacciónRecurso">[4]MaestroRecursos!$B$2:$B$102</definedName>
    <definedName name="ResultadoAprendizaje">[1]MaestroResultadosA!$B$2:$B$12</definedName>
    <definedName name="Semestre">[5]asdf!$A$13:$A$20</definedName>
    <definedName name="TIPOLOGÍA">'[2]Códigos '!$AJ$70:$AJ$72</definedName>
    <definedName name="UnidadAcademica">[3]MaestroUA!$B$2:$B$89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9" i="1" l="1"/>
  <c r="K9" i="1"/>
  <c r="J9" i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<sst xmlns="http://schemas.openxmlformats.org/spreadsheetml/2006/main" count="105" uniqueCount="94">
  <si>
    <t>FUNDACIÓN UNIVERSITARIA CAFAM</t>
  </si>
  <si>
    <t xml:space="preserve">MACROPROCESO MISIONAL
DOCENCIA
UNIDAD DE APRENDIZAJE </t>
  </si>
  <si>
    <t>CÓDIGO</t>
  </si>
  <si>
    <t>MIDOFO05</t>
  </si>
  <si>
    <t>VERSIÓN</t>
  </si>
  <si>
    <t>VIGENCIA</t>
  </si>
  <si>
    <t>PÁGINA</t>
  </si>
  <si>
    <t>1 de 1</t>
  </si>
  <si>
    <t xml:space="preserve">UNIDAD DE APRENDIZAJE </t>
  </si>
  <si>
    <t>NOMBRE UNIDAD DE APRENDIZAJE:</t>
  </si>
  <si>
    <t>N° Créditos:</t>
  </si>
  <si>
    <t>TFD:</t>
  </si>
  <si>
    <t>Sincrónico</t>
  </si>
  <si>
    <t>Asíncrónico</t>
  </si>
  <si>
    <t>TTI:</t>
  </si>
  <si>
    <t>METODOLOGÍA:</t>
  </si>
  <si>
    <t>PROGRAMA:</t>
  </si>
  <si>
    <t>SEMESTRE:</t>
  </si>
  <si>
    <t>CÓDIGO:</t>
  </si>
  <si>
    <t>ÁREA DE FORMACIÓN:</t>
  </si>
  <si>
    <t>JUSTIFICACIÓN:</t>
  </si>
  <si>
    <t xml:space="preserve">COMPETENCIA </t>
  </si>
  <si>
    <t>SABERES ESPECÍFICOS
(saber)</t>
  </si>
  <si>
    <t xml:space="preserve">HABILIDADES O DESTREZAS 
(saber hacer) </t>
  </si>
  <si>
    <t xml:space="preserve">ACTITUDES 
(saber ser) </t>
  </si>
  <si>
    <t xml:space="preserve">APRENDER A APRENDER </t>
  </si>
  <si>
    <t xml:space="preserve">RESULTADO DE APREDIZAJE DEL PROGRAMA </t>
  </si>
  <si>
    <t xml:space="preserve">RESULTADOS DE APRENDIZAJE DE LA UNIDAD DE APZ </t>
  </si>
  <si>
    <t xml:space="preserve">CRITERIOS DE EVALUACIÓN </t>
  </si>
  <si>
    <t xml:space="preserve">ESTRATEGIAS DE EVALUACIÓN </t>
  </si>
  <si>
    <t>EVIDENCIAS DE CONOCIMIENTO</t>
  </si>
  <si>
    <t>EVIDENCIAS DE DESEMPEÑO</t>
  </si>
  <si>
    <t>EVIDENCIAS DE PRODUCTO</t>
  </si>
  <si>
    <t xml:space="preserve">METODOLOGIA:  ACTIVIDADES Y  ESTRATEGIAS  </t>
  </si>
  <si>
    <t xml:space="preserve">Nivel  Alto </t>
  </si>
  <si>
    <t xml:space="preserve">Nivel Medio </t>
  </si>
  <si>
    <t>Nivel bajo</t>
  </si>
  <si>
    <t xml:space="preserve">RECURSOS DE APOYO </t>
  </si>
  <si>
    <t xml:space="preserve">BIBLIOGRAFÍA  </t>
  </si>
  <si>
    <t>CONTROL DE CAMBIOS</t>
  </si>
  <si>
    <t>FECHA DE APROBACIÓN</t>
  </si>
  <si>
    <t>DESCRIPCIÓN DEL CAMBIO</t>
  </si>
  <si>
    <t>DD</t>
  </si>
  <si>
    <t>MM</t>
  </si>
  <si>
    <t>AAAA</t>
  </si>
  <si>
    <t>Creación del Documento</t>
  </si>
  <si>
    <t>CONTROL DE DOCUMENTOS</t>
  </si>
  <si>
    <t>ELABORO</t>
  </si>
  <si>
    <t>NOMBRES Y APELLIDOS</t>
  </si>
  <si>
    <t>CARGO</t>
  </si>
  <si>
    <t>FIRMA</t>
  </si>
  <si>
    <t>REVISO</t>
  </si>
  <si>
    <t>APROBÓ</t>
  </si>
  <si>
    <t xml:space="preserve">TENOLOGÍA EN ANALISIS Y GESTIÓN DE DATOS </t>
  </si>
  <si>
    <t>Con la rúbrica como herramienta de evaluación de los aprendizajes adquiridos, se evidenciará:
A.) La aplicación precisa de procedimientos seleccionados
B.) La comprensión y aplicación de conceptos teóricos relevantes para la resolución del problema, incluyendo la precisión en el uso de fórmulas, teoremas o principios pertinentes.
C.) La correcta interpretación de los datos, las condiciones del problema y los resultados alcanzados.</t>
  </si>
  <si>
    <t xml:space="preserve">Con la rúbrica como herramienta de evaluación del desempeño se evidenciará:
A.) La claridad en la presentación del razonamiento.
B.) La  metodología utilizada para llegar a la solución.
C.) la capacidad para identificar y manejar adecuadamente las etapas. del proceso de resolución.
D.) la eficiencia en el uso de recursos y tiempo. </t>
  </si>
  <si>
    <t>Aula virtual</t>
  </si>
  <si>
    <t xml:space="preserve">Microsoft 365, incluye Microsoft Office (Word, Excel, PowerPoint, Publisher, Access, Power BI, OneNote, Outlook, Project y Visio), Licencia Universitaria. </t>
  </si>
  <si>
    <t>EBSCO Information Services</t>
  </si>
  <si>
    <t>E-Collection (ISO) (iCONTEC)</t>
  </si>
  <si>
    <t>E Libro</t>
  </si>
  <si>
    <t>https://www.unicafam.edu.co/index.php/biblioteca-craiin/</t>
  </si>
  <si>
    <t>Software https://www.mathworks.com/products/matlab.html</t>
  </si>
  <si>
    <t>Software GeoGebra License; Non-commercial freeware; portions under General Public License (GPL).</t>
  </si>
  <si>
    <t>BASES DE DATOS NoSQL</t>
  </si>
  <si>
    <t>Específica</t>
  </si>
  <si>
    <t>Explorar bases de datos NoSQL proporciona una estrategia más flexible y escalable para gestionar datos en situaciones donde las bases de datos relacionales pueden no ser la solución más adecuada. La elección entre bases de datos SQL y NoSQL dependerá de los requisitos específicos del proyecto y de las características inherentes de los datos que se deben gestionar.</t>
  </si>
  <si>
    <t>Garantizar la calidad de la cadena del dato para asegurar su confiabilidad e integridad.</t>
  </si>
  <si>
    <r>
      <rPr>
        <b/>
        <sz val="11"/>
        <rFont val="Aptos Narrow"/>
        <family val="2"/>
        <scheme val="minor"/>
      </rPr>
      <t>1. Generalidades</t>
    </r>
    <r>
      <rPr>
        <sz val="11"/>
        <rFont val="Aptos Narrow"/>
        <family val="2"/>
        <scheme val="minor"/>
      </rPr>
      <t xml:space="preserve">
1.1 Diferenciales de las bases de datos relacionales y no relacionales
1.2. Conocer la terminología de una base de datos SQL y No SQL (MongoDB).
</t>
    </r>
    <r>
      <rPr>
        <b/>
        <sz val="11"/>
        <rFont val="Aptos Narrow"/>
        <family val="2"/>
        <scheme val="minor"/>
      </rPr>
      <t>2. Instalación y primeros pasos</t>
    </r>
    <r>
      <rPr>
        <sz val="11"/>
        <rFont val="Aptos Narrow"/>
        <family val="2"/>
        <scheme val="minor"/>
      </rPr>
      <t xml:space="preserve">
2.1 Como instalar Mongo o como instalar alguna herramienta que nos va ayudar a trabajar con Momgo DB y gestionar la Base de Datos
</t>
    </r>
    <r>
      <rPr>
        <b/>
        <sz val="11"/>
        <rFont val="Aptos Narrow"/>
        <family val="2"/>
        <scheme val="minor"/>
      </rPr>
      <t>3. Colecciones y Documentos</t>
    </r>
    <r>
      <rPr>
        <sz val="11"/>
        <rFont val="Aptos Narrow"/>
        <family val="2"/>
        <scheme val="minor"/>
      </rPr>
      <t xml:space="preserve">
3.1 Aprender a trabajar con los documentos embebidos  de acuerdo a minería básica
3.2 Trabajar con colecciones de objetos dentro de los documentos.
</t>
    </r>
    <r>
      <rPr>
        <b/>
        <sz val="11"/>
        <rFont val="Aptos Narrow"/>
        <family val="2"/>
        <scheme val="minor"/>
      </rPr>
      <t xml:space="preserve">4. Documentos Embebidos 1 </t>
    </r>
    <r>
      <rPr>
        <sz val="11"/>
        <rFont val="Aptos Narrow"/>
        <family val="2"/>
        <scheme val="minor"/>
      </rPr>
      <t xml:space="preserve">
4.1 Como trabajar con documentos embebidos.
</t>
    </r>
    <r>
      <rPr>
        <b/>
        <sz val="11"/>
        <rFont val="Aptos Narrow"/>
        <family val="2"/>
        <scheme val="minor"/>
      </rPr>
      <t>5.  Operadores y Consultas</t>
    </r>
    <r>
      <rPr>
        <sz val="11"/>
        <rFont val="Aptos Narrow"/>
        <family val="2"/>
        <scheme val="minor"/>
      </rPr>
      <t xml:space="preserve">
5.1  Más tipos de consultas
5.2 Se harán  operaciones con las consultas
5.3 Saber como consultar y obtener información desde una base de datos No SQL MongDB
</t>
    </r>
    <r>
      <rPr>
        <b/>
        <sz val="11"/>
        <rFont val="Aptos Narrow"/>
        <family val="2"/>
        <scheme val="minor"/>
      </rPr>
      <t>6. Documentos Embebidos 2</t>
    </r>
    <r>
      <rPr>
        <sz val="11"/>
        <rFont val="Aptos Narrow"/>
        <family val="2"/>
        <scheme val="minor"/>
      </rPr>
      <t xml:space="preserve">
6.1 Trabajar de manera más profunda con los documentos embebidos o los documentos dentro de otros objetos 
6.2 Saber como trabajar más con colecciones y documentos dentro de un documento o documentos embebidos 
6.3 Como hacer operaciones de Cloud con los documentos
</t>
    </r>
    <r>
      <rPr>
        <b/>
        <sz val="11"/>
        <rFont val="Aptos Narrow"/>
        <family val="2"/>
        <scheme val="minor"/>
      </rPr>
      <t>7. Servicio API`s RESTful con Nodejs y MongoDB</t>
    </r>
    <r>
      <rPr>
        <sz val="11"/>
        <rFont val="Aptos Narrow"/>
        <family val="2"/>
        <scheme val="minor"/>
      </rPr>
      <t xml:space="preserve">
7.1 Crear un servicio API RESTful CON Nodejs y MongoDB
7.2 Ver como crear una API que es un tipo de aplicación que suele quedar mucho actualmente para el Bakken
7.3 Como crear un amigo no JDs y como conectar estas 2 tecnologías
7.4 Como utilizar Mongolos que es una librería que nos va ayudar a trabajar con estas 2 tecnologías en conjunto</t>
    </r>
  </si>
  <si>
    <t>Se compromete con la revisión y actualización de los contenidos desarrollados
Reflexiona permanentemente sobre sus procesos de aprendizaje.</t>
  </si>
  <si>
    <t>(*)  Comprender las bases de datos NoSQL
(*) Aumentar las posibilidades laborales como desarrollador
(*) Crear Apis RESTful con NodeJS
(*) Desarrollar servicios y Apis REST
(*)  Responsabilizarse de la construcción de su propio aprendizaje.
(*) Construir BD NoSQL mediante MongoDB</t>
  </si>
  <si>
    <t>(*) Disposición con el que enfrentaríamos una situación
(*) Animo por afrontar lo que venga de la forma más beneficiosa
(*)Planificar el presente
(*) Concentrarse en soluciones
(*) Enfocarse en lo que pueda faltar</t>
  </si>
  <si>
    <t>Demuestra un conocimiento  preciso de los conceptos de bases de datos NoSQL. Puede explicar de manera clara y coherente los diferentes tipos de bases de datos NoSQL y sus ventajas y desventajas.</t>
  </si>
  <si>
    <t>Demuestra un conocimiento profundo y preciso de los conceptos de bases de datos NoSQL. Puede explicar de manera clara y coherente los diferentes tipos de bases de datos NoSQL y sus ventajas y desventajas.</t>
  </si>
  <si>
    <t>Muestra un buen conocimiento de los conceptos de bases de datos NoSQL. Puede explicar los diferentes tipos de bases de datos NoSQL y sus ventajas y desventajas de manera clara y comprensible.</t>
  </si>
  <si>
    <t>Tiene un conocimiento limitado de los conceptos de bases de datos NoSQL. No puede explicar de manera clara los diferentes tipos de bases de datos NoSQL y sus ventajas y desventajas.</t>
  </si>
  <si>
    <t>Diseña y administra bases de datos NoSQL de manera excepcional. Puede crear esquemas de bases de datos NoSQL complejas y optimizadas, así como realizar operaciones avanzadas de administración y manipulación de datos.</t>
  </si>
  <si>
    <t>Diseña y administra bases de datos NoSQL de manera competente. Puede crear esquemas de bases de datos NoSQL eficientes y realizar operaciones básicas de administración y manipulación de datos.</t>
  </si>
  <si>
    <t>Tiene dificultades para diseñar y administrar bases de datos NoSQL. No puede crear esquemas eficientes ni realizar operaciones básicas de administración y manipulación de datos.</t>
  </si>
  <si>
    <t>Utiliza de manera sobresaliente las herramientas de bases de datos NoSQL. Puede utilizar diferentes herramientas para realizar consultas, visualizaciones y análisis de datos de manera eficiente y efectiva.</t>
  </si>
  <si>
    <t>Utiliza de manera adecuada las herramientas de bases de datos NoSQL. Puede utilizar herramientas básicas para realizar consultas y visualizaciones de datos.</t>
  </si>
  <si>
    <t>Tiene dificultades para utilizar las herramientas de bases de datos NoSQL. No puede realizar consultas ni visualizaciones de datos de manera adecuada.</t>
  </si>
  <si>
    <t>Resuelve de manera excepcional problemas complejos relacionados con bases de datos NoSQL. Puede identificar y solucionar de manera efectiva cualquier error o inconveniente que surja durante el desarrollo y administración de bases de datos NoSQL.</t>
  </si>
  <si>
    <t>Resuelve problemas relacionados con bases de datos NoSQL de manera competente. Puede identificar y solucionar la mayoría de los errores o inconvenientes que surjan durante el desarrollo y administración de bases de datos NoSQL.</t>
  </si>
  <si>
    <t>Tiene dificultades para resolver problemas relacionados con bases de datos NoSQL. No puede identificar ni solucionar de manera efectiva errores o inconvenientes durante el desarrollo y administración de bases de datos NoSQL.</t>
  </si>
  <si>
    <t>Aprendizaje Basado en Problema.</t>
  </si>
  <si>
    <t>Utilizando la rúbrica como herramienta de evaluación, se valorara en el informe final,  la solución numérica o analítica correcta, la verificación de la solución para asegurar su validez, la presentación adecuada de los resultados con unidades correctas y cifras significativas, así como la interpretación de las implicaciones de la solución dentro del contexto del problema planteado
El informe final puede ser 
Productos Tangibles:
Informes, documentos técnicos, manuales o presentaciones que documentan el proceso y los resultados del problema.
Presentaciones o Demostraciones:
Exposiciones públicas, presentaciones orales o demostraciones ante compañeros
Portafolios:
Recopilación de trabajos,  análisis, investigaciones y reflexiones relacionadas con el problema.
Evaluaciones ecritas</t>
  </si>
  <si>
    <t>Aprendizaje Basado en Problemas. 
1. Leer y analizar el escenario o situación problema.
2. Identificar los objetivos de aprendizaje.
3. Identificar el conocimiento necesario previo y, reconocer saberes que requieren mayor profundización para lograr su solución.
4. Elaborar un esquema o representación que le permita comprender el problema.
5. Elaborar un diagnóstico que le permita una aproximación a la solución del problema.
6. Elaborar un plan de trabajo para abordar el problema.
7. Recopilar información sobre el problema.
8. Analizar la información recogida
9. Plantear los posibles resultados y evaluar su capacidad para abordar el problema
10. Desarrollar procesos de retroalimentación que lo lleven a verificar la solución del problema o nuevas hipótesis 
11. Reflexionar sobre el desempeño individual y grupal durante el desarrollo de la actividad.</t>
  </si>
  <si>
    <t xml:space="preserve">Statistical and Machine-Learning Data Mining, Third Edition_ Techniques for Better Predictive Modeling and Analysis of Big Data, Third Edition </t>
  </si>
  <si>
    <t>The Elements of Statistical Learning_ Data Mining, Inference, and Prediction, Second Edition (Springer Series in Statistics)</t>
  </si>
  <si>
    <t>S: TuffèryData Mining and Statistics for Decision Making .Wiley.2011</t>
  </si>
  <si>
    <t xml:space="preserve"> Practical Text Mining and Statistical Analysis for Non-structured Text Data Applications.Elsevirer2011.</t>
  </si>
  <si>
    <t>IV</t>
  </si>
  <si>
    <t>VIRTUAL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</si>
</sst>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Verdana"/>
      <family val="2"/>
    </font>
    <font>
      <b/>
      <sz val="11"/>
      <color rgb="FFFFFFFF"/>
      <name val="Verdana"/>
      <family val="2"/>
    </font>
    <font>
      <b/>
      <sz val="11"/>
      <color rgb="FF000000"/>
      <name val="Verdana"/>
      <family val="2"/>
    </font>
    <font>
      <b/>
      <sz val="12"/>
      <color theme="1"/>
      <name val="Aptos Narrow"/>
      <family val="2"/>
      <scheme val="minor"/>
    </font>
    <font>
      <b/>
      <sz val="12"/>
      <color rgb="FF000000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name val="Aptos Narrow"/>
      <family val="2"/>
      <scheme val="minor"/>
    </font>
    <font>
      <b/>
      <sz val="10"/>
      <color rgb="FF000000"/>
      <name val="Aptos Narrow"/>
      <family val="2"/>
      <scheme val="minor"/>
    </font>
    <font>
      <sz val="9"/>
      <color rgb="FF000000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000000"/>
      <name val="Calibri"/>
      <family val="2"/>
    </font>
    <font>
      <b/>
      <sz val="11"/>
      <color theme="0"/>
      <name val="Verdana"/>
      <family val="2"/>
    </font>
    <font>
      <sz val="11"/>
      <color theme="1"/>
      <name val="Verdana"/>
      <family val="2"/>
    </font>
    <font>
      <sz val="10"/>
      <name val="Poppins"/>
    </font>
    <font>
      <sz val="11"/>
      <color rgb="FF2C2C2C"/>
      <name val="Arial"/>
      <family val="2"/>
    </font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8"/>
        <bgColor rgb="FF000000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1F4E78"/>
        <bgColor indexed="64"/>
      </patternFill>
    </fill>
  </fills>
  <borders count="4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/>
      <right style="medium">
        <color indexed="64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1" fillId="0" borderId="0"/>
  </cellStyleXfs>
  <cellXfs count="134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0" fillId="3" borderId="0" xfId="0" applyFill="1"/>
    <xf numFmtId="0" fontId="4" fillId="2" borderId="1" xfId="0" applyFont="1" applyFill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8" fillId="5" borderId="7" xfId="0" applyFont="1" applyFill="1" applyBorder="1" applyAlignment="1">
      <alignment horizontal="left" vertical="center" wrapText="1"/>
    </xf>
    <xf numFmtId="0" fontId="8" fillId="5" borderId="8" xfId="0" applyFont="1" applyFill="1" applyBorder="1" applyAlignment="1">
      <alignment horizontal="center" vertical="center" wrapText="1"/>
    </xf>
    <xf numFmtId="0" fontId="8" fillId="5" borderId="8" xfId="0" applyFont="1" applyFill="1" applyBorder="1" applyAlignment="1">
      <alignment horizontal="left" vertical="center" wrapText="1"/>
    </xf>
    <xf numFmtId="1" fontId="13" fillId="0" borderId="9" xfId="0" applyNumberFormat="1" applyFont="1" applyBorder="1" applyAlignment="1">
      <alignment horizontal="center" vertical="center" wrapText="1"/>
    </xf>
    <xf numFmtId="0" fontId="8" fillId="5" borderId="10" xfId="0" applyFont="1" applyFill="1" applyBorder="1" applyAlignment="1">
      <alignment horizontal="left" vertical="center" wrapText="1"/>
    </xf>
    <xf numFmtId="0" fontId="10" fillId="4" borderId="13" xfId="0" applyFont="1" applyFill="1" applyBorder="1" applyAlignment="1">
      <alignment vertical="center" wrapText="1"/>
    </xf>
    <xf numFmtId="0" fontId="8" fillId="5" borderId="14" xfId="0" applyFont="1" applyFill="1" applyBorder="1" applyAlignment="1">
      <alignment horizontal="left" vertical="center" wrapText="1"/>
    </xf>
    <xf numFmtId="0" fontId="9" fillId="0" borderId="0" xfId="0" applyFont="1" applyAlignment="1">
      <alignment horizontal="center" vertical="center" wrapText="1"/>
    </xf>
    <xf numFmtId="0" fontId="0" fillId="0" borderId="35" xfId="0" applyBorder="1"/>
    <xf numFmtId="0" fontId="15" fillId="6" borderId="1" xfId="0" applyFont="1" applyFill="1" applyBorder="1" applyAlignment="1" applyProtection="1">
      <alignment horizontal="center" vertical="center" wrapText="1"/>
      <protection hidden="1"/>
    </xf>
    <xf numFmtId="0" fontId="15" fillId="6" borderId="39" xfId="0" applyFont="1" applyFill="1" applyBorder="1" applyAlignment="1" applyProtection="1">
      <alignment horizontal="center" vertical="center" wrapText="1"/>
      <protection hidden="1"/>
    </xf>
    <xf numFmtId="0" fontId="15" fillId="6" borderId="24" xfId="0" applyFont="1" applyFill="1" applyBorder="1" applyAlignment="1" applyProtection="1">
      <alignment horizontal="center" vertical="center" wrapText="1"/>
      <protection hidden="1"/>
    </xf>
    <xf numFmtId="0" fontId="16" fillId="0" borderId="1" xfId="0" applyFont="1" applyBorder="1" applyAlignment="1" applyProtection="1">
      <alignment horizontal="center" vertical="center" wrapText="1"/>
      <protection hidden="1"/>
    </xf>
    <xf numFmtId="0" fontId="16" fillId="0" borderId="39" xfId="0" applyFont="1" applyBorder="1" applyAlignment="1" applyProtection="1">
      <alignment horizontal="center" vertical="center" wrapText="1"/>
      <protection hidden="1"/>
    </xf>
    <xf numFmtId="0" fontId="16" fillId="3" borderId="0" xfId="0" applyFont="1" applyFill="1" applyAlignment="1">
      <alignment horizontal="center" vertical="center"/>
    </xf>
    <xf numFmtId="0" fontId="13" fillId="0" borderId="24" xfId="1" applyFont="1" applyBorder="1" applyAlignment="1">
      <alignment horizontal="left" vertical="center" wrapText="1"/>
    </xf>
    <xf numFmtId="0" fontId="14" fillId="0" borderId="26" xfId="1" applyFont="1" applyBorder="1" applyAlignment="1">
      <alignment horizontal="left" vertical="center" wrapText="1"/>
    </xf>
    <xf numFmtId="0" fontId="9" fillId="0" borderId="31" xfId="0" applyFont="1" applyBorder="1" applyAlignment="1">
      <alignment horizontal="center" vertical="center" wrapText="1"/>
    </xf>
    <xf numFmtId="0" fontId="0" fillId="0" borderId="31" xfId="0" applyBorder="1"/>
    <xf numFmtId="0" fontId="0" fillId="0" borderId="43" xfId="0" applyBorder="1"/>
    <xf numFmtId="0" fontId="13" fillId="0" borderId="44" xfId="1" applyFont="1" applyBorder="1" applyAlignment="1">
      <alignment horizontal="left" vertical="center" wrapText="1"/>
    </xf>
    <xf numFmtId="0" fontId="13" fillId="0" borderId="35" xfId="1" applyFont="1" applyBorder="1" applyAlignment="1">
      <alignment horizontal="left" vertical="center" wrapText="1"/>
    </xf>
    <xf numFmtId="0" fontId="14" fillId="0" borderId="11" xfId="1" applyFont="1" applyBorder="1" applyAlignment="1">
      <alignment vertical="center" wrapText="1"/>
    </xf>
    <xf numFmtId="0" fontId="13" fillId="0" borderId="12" xfId="1" applyFont="1" applyBorder="1" applyAlignment="1">
      <alignment vertical="center" wrapText="1"/>
    </xf>
    <xf numFmtId="0" fontId="13" fillId="0" borderId="13" xfId="1" applyFont="1" applyBorder="1" applyAlignment="1">
      <alignment vertical="center" wrapText="1"/>
    </xf>
    <xf numFmtId="0" fontId="9" fillId="0" borderId="26" xfId="0" applyFont="1" applyBorder="1" applyAlignment="1">
      <alignment horizontal="left" vertical="center"/>
    </xf>
    <xf numFmtId="0" fontId="13" fillId="0" borderId="0" xfId="1" applyFont="1" applyAlignment="1">
      <alignment horizontal="left" vertical="center" wrapText="1"/>
    </xf>
    <xf numFmtId="0" fontId="13" fillId="0" borderId="37" xfId="1" applyFont="1" applyBorder="1" applyAlignment="1">
      <alignment vertical="center" wrapText="1"/>
    </xf>
    <xf numFmtId="0" fontId="14" fillId="0" borderId="23" xfId="1" applyFont="1" applyBorder="1" applyAlignment="1">
      <alignment horizontal="left" vertical="center"/>
    </xf>
    <xf numFmtId="0" fontId="14" fillId="0" borderId="26" xfId="1" applyFont="1" applyBorder="1" applyAlignment="1">
      <alignment horizontal="left" vertical="center"/>
    </xf>
    <xf numFmtId="0" fontId="18" fillId="0" borderId="26" xfId="0" applyFont="1" applyBorder="1"/>
    <xf numFmtId="0" fontId="17" fillId="0" borderId="26" xfId="0" applyFont="1" applyBorder="1" applyAlignment="1" applyProtection="1">
      <alignment horizontal="left" vertical="top"/>
      <protection locked="0"/>
    </xf>
    <xf numFmtId="0" fontId="14" fillId="0" borderId="33" xfId="1" applyFont="1" applyBorder="1" applyAlignment="1">
      <alignment vertical="center"/>
    </xf>
    <xf numFmtId="0" fontId="17" fillId="0" borderId="29" xfId="0" applyFont="1" applyBorder="1" applyAlignment="1" applyProtection="1">
      <alignment horizontal="left" vertical="top"/>
      <protection locked="0"/>
    </xf>
    <xf numFmtId="0" fontId="13" fillId="0" borderId="46" xfId="1" applyFont="1" applyBorder="1" applyAlignment="1">
      <alignment vertical="center" wrapText="1"/>
    </xf>
    <xf numFmtId="0" fontId="19" fillId="4" borderId="47" xfId="0" applyFont="1" applyFill="1" applyBorder="1" applyAlignment="1">
      <alignment horizontal="left" vertical="center" wrapText="1"/>
    </xf>
    <xf numFmtId="0" fontId="20" fillId="4" borderId="1" xfId="0" applyFont="1" applyFill="1" applyBorder="1" applyAlignment="1">
      <alignment horizontal="left" vertical="center" wrapText="1"/>
    </xf>
    <xf numFmtId="0" fontId="20" fillId="4" borderId="48" xfId="0" applyFont="1" applyFill="1" applyBorder="1" applyAlignment="1">
      <alignment horizontal="left" vertical="center" wrapText="1"/>
    </xf>
    <xf numFmtId="0" fontId="6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8" fillId="5" borderId="2" xfId="0" applyFont="1" applyFill="1" applyBorder="1" applyAlignment="1">
      <alignment horizontal="center" vertical="center" wrapText="1"/>
    </xf>
    <xf numFmtId="0" fontId="8" fillId="5" borderId="5" xfId="0" applyFont="1" applyFill="1" applyBorder="1" applyAlignment="1">
      <alignment horizontal="center" vertical="center" wrapText="1"/>
    </xf>
    <xf numFmtId="0" fontId="9" fillId="0" borderId="3" xfId="0" applyFont="1" applyBorder="1" applyAlignment="1">
      <alignment horizontal="left" vertical="center" wrapText="1"/>
    </xf>
    <xf numFmtId="0" fontId="9" fillId="0" borderId="1" xfId="0" applyFont="1" applyBorder="1" applyAlignment="1">
      <alignment horizontal="left" vertical="center" wrapText="1"/>
    </xf>
    <xf numFmtId="0" fontId="8" fillId="5" borderId="3" xfId="0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0" fillId="5" borderId="3" xfId="1" applyFont="1" applyFill="1" applyBorder="1" applyAlignment="1">
      <alignment horizontal="center" vertical="center" wrapText="1"/>
    </xf>
    <xf numFmtId="0" fontId="10" fillId="5" borderId="1" xfId="1" applyFont="1" applyFill="1" applyBorder="1" applyAlignment="1">
      <alignment horizontal="center" vertical="center" wrapText="1"/>
    </xf>
    <xf numFmtId="0" fontId="11" fillId="5" borderId="3" xfId="0" applyFont="1" applyFill="1" applyBorder="1" applyAlignment="1">
      <alignment horizontal="center" vertical="center" wrapText="1"/>
    </xf>
    <xf numFmtId="0" fontId="11" fillId="5" borderId="1" xfId="0" applyFont="1" applyFill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12" fillId="0" borderId="6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2" borderId="1" xfId="0" applyFont="1" applyFill="1" applyBorder="1" applyAlignment="1" applyProtection="1">
      <alignment horizontal="center" vertical="center" wrapText="1"/>
      <protection locked="0"/>
    </xf>
    <xf numFmtId="0" fontId="5" fillId="0" borderId="1" xfId="0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/>
    </xf>
    <xf numFmtId="0" fontId="8" fillId="5" borderId="19" xfId="0" applyFont="1" applyFill="1" applyBorder="1" applyAlignment="1">
      <alignment horizontal="center" vertical="center" wrapText="1"/>
    </xf>
    <xf numFmtId="0" fontId="8" fillId="5" borderId="20" xfId="0" applyFont="1" applyFill="1" applyBorder="1" applyAlignment="1">
      <alignment horizontal="center" vertical="center" wrapText="1"/>
    </xf>
    <xf numFmtId="0" fontId="8" fillId="5" borderId="18" xfId="0" applyFont="1" applyFill="1" applyBorder="1" applyAlignment="1">
      <alignment horizontal="center" vertical="center" wrapText="1"/>
    </xf>
    <xf numFmtId="0" fontId="2" fillId="5" borderId="29" xfId="0" applyFont="1" applyFill="1" applyBorder="1" applyAlignment="1">
      <alignment horizontal="center" vertical="center" wrapText="1"/>
    </xf>
    <xf numFmtId="0" fontId="2" fillId="5" borderId="30" xfId="0" applyFont="1" applyFill="1" applyBorder="1" applyAlignment="1">
      <alignment horizontal="center" vertical="center" wrapText="1"/>
    </xf>
    <xf numFmtId="0" fontId="2" fillId="5" borderId="11" xfId="0" applyFont="1" applyFill="1" applyBorder="1" applyAlignment="1">
      <alignment horizontal="center" vertical="center" wrapText="1"/>
    </xf>
    <xf numFmtId="0" fontId="2" fillId="5" borderId="28" xfId="0" applyFont="1" applyFill="1" applyBorder="1" applyAlignment="1">
      <alignment horizontal="center" vertical="center" wrapText="1"/>
    </xf>
    <xf numFmtId="0" fontId="13" fillId="0" borderId="8" xfId="1" applyFont="1" applyBorder="1" applyAlignment="1">
      <alignment horizontal="left" vertical="center" wrapText="1"/>
    </xf>
    <xf numFmtId="0" fontId="0" fillId="0" borderId="8" xfId="0" applyBorder="1" applyAlignment="1">
      <alignment horizontal="center" vertical="center"/>
    </xf>
    <xf numFmtId="0" fontId="13" fillId="0" borderId="11" xfId="0" applyFont="1" applyBorder="1" applyAlignment="1">
      <alignment horizontal="left" vertical="center" wrapText="1"/>
    </xf>
    <xf numFmtId="0" fontId="13" fillId="0" borderId="12" xfId="0" applyFont="1" applyBorder="1" applyAlignment="1">
      <alignment horizontal="left" vertical="center" wrapText="1"/>
    </xf>
    <xf numFmtId="0" fontId="13" fillId="0" borderId="15" xfId="0" applyFont="1" applyBorder="1" applyAlignment="1">
      <alignment horizontal="left" vertical="center" wrapText="1"/>
    </xf>
    <xf numFmtId="0" fontId="13" fillId="0" borderId="16" xfId="0" applyFont="1" applyBorder="1" applyAlignment="1">
      <alignment horizontal="left" vertical="center" wrapText="1"/>
    </xf>
    <xf numFmtId="0" fontId="8" fillId="5" borderId="17" xfId="0" applyFont="1" applyFill="1" applyBorder="1" applyAlignment="1">
      <alignment horizontal="center" vertical="center" wrapText="1"/>
    </xf>
    <xf numFmtId="0" fontId="8" fillId="5" borderId="21" xfId="1" applyFont="1" applyFill="1" applyBorder="1" applyAlignment="1">
      <alignment horizontal="center" vertical="center" wrapText="1"/>
    </xf>
    <xf numFmtId="0" fontId="8" fillId="5" borderId="22" xfId="1" applyFont="1" applyFill="1" applyBorder="1" applyAlignment="1">
      <alignment horizontal="center" vertical="center" wrapText="1"/>
    </xf>
    <xf numFmtId="0" fontId="13" fillId="4" borderId="5" xfId="0" applyFont="1" applyFill="1" applyBorder="1" applyAlignment="1">
      <alignment vertical="center" wrapText="1"/>
    </xf>
    <xf numFmtId="0" fontId="13" fillId="4" borderId="1" xfId="0" applyFont="1" applyFill="1" applyBorder="1" applyAlignment="1">
      <alignment vertical="center" wrapText="1"/>
    </xf>
    <xf numFmtId="0" fontId="13" fillId="4" borderId="7" xfId="0" applyFont="1" applyFill="1" applyBorder="1" applyAlignment="1">
      <alignment vertical="center" wrapText="1"/>
    </xf>
    <xf numFmtId="0" fontId="13" fillId="4" borderId="8" xfId="0" applyFont="1" applyFill="1" applyBorder="1" applyAlignment="1">
      <alignment vertical="center" wrapText="1"/>
    </xf>
    <xf numFmtId="0" fontId="13" fillId="4" borderId="23" xfId="0" applyFont="1" applyFill="1" applyBorder="1" applyAlignment="1">
      <alignment vertical="top" wrapText="1"/>
    </xf>
    <xf numFmtId="0" fontId="13" fillId="4" borderId="24" xfId="0" applyFont="1" applyFill="1" applyBorder="1" applyAlignment="1">
      <alignment vertical="top" wrapText="1"/>
    </xf>
    <xf numFmtId="0" fontId="13" fillId="4" borderId="25" xfId="0" applyFont="1" applyFill="1" applyBorder="1" applyAlignment="1">
      <alignment vertical="top" wrapText="1"/>
    </xf>
    <xf numFmtId="0" fontId="13" fillId="4" borderId="26" xfId="0" applyFont="1" applyFill="1" applyBorder="1" applyAlignment="1">
      <alignment vertical="top" wrapText="1"/>
    </xf>
    <xf numFmtId="0" fontId="13" fillId="4" borderId="0" xfId="0" applyFont="1" applyFill="1" applyAlignment="1">
      <alignment vertical="top" wrapText="1"/>
    </xf>
    <xf numFmtId="0" fontId="13" fillId="4" borderId="27" xfId="0" applyFont="1" applyFill="1" applyBorder="1" applyAlignment="1">
      <alignment vertical="top" wrapText="1"/>
    </xf>
    <xf numFmtId="0" fontId="13" fillId="4" borderId="11" xfId="0" applyFont="1" applyFill="1" applyBorder="1" applyAlignment="1">
      <alignment vertical="top" wrapText="1"/>
    </xf>
    <xf numFmtId="0" fontId="13" fillId="4" borderId="12" xfId="0" applyFont="1" applyFill="1" applyBorder="1" applyAlignment="1">
      <alignment vertical="top" wrapText="1"/>
    </xf>
    <xf numFmtId="0" fontId="13" fillId="4" borderId="28" xfId="0" applyFont="1" applyFill="1" applyBorder="1" applyAlignment="1">
      <alignment vertical="top" wrapText="1"/>
    </xf>
    <xf numFmtId="0" fontId="1" fillId="0" borderId="3" xfId="1" applyBorder="1" applyAlignment="1">
      <alignment horizontal="left" vertical="top" wrapText="1"/>
    </xf>
    <xf numFmtId="0" fontId="1" fillId="0" borderId="1" xfId="1" applyBorder="1" applyAlignment="1">
      <alignment horizontal="left" vertical="top" wrapText="1"/>
    </xf>
    <xf numFmtId="0" fontId="1" fillId="0" borderId="8" xfId="1" applyBorder="1" applyAlignment="1">
      <alignment horizontal="left" vertical="top" wrapText="1"/>
    </xf>
    <xf numFmtId="0" fontId="1" fillId="0" borderId="4" xfId="1" applyBorder="1" applyAlignment="1">
      <alignment horizontal="left" vertical="top" wrapText="1"/>
    </xf>
    <xf numFmtId="0" fontId="1" fillId="0" borderId="6" xfId="1" applyBorder="1" applyAlignment="1">
      <alignment horizontal="left" vertical="top" wrapText="1"/>
    </xf>
    <xf numFmtId="0" fontId="1" fillId="0" borderId="9" xfId="1" applyBorder="1" applyAlignment="1">
      <alignment horizontal="left" vertical="top" wrapText="1"/>
    </xf>
    <xf numFmtId="0" fontId="8" fillId="5" borderId="29" xfId="0" applyFont="1" applyFill="1" applyBorder="1" applyAlignment="1">
      <alignment horizontal="center" vertical="center" wrapText="1"/>
    </xf>
    <xf numFmtId="0" fontId="8" fillId="5" borderId="30" xfId="0" applyFont="1" applyFill="1" applyBorder="1" applyAlignment="1">
      <alignment horizontal="center" vertical="center" wrapText="1"/>
    </xf>
    <xf numFmtId="0" fontId="8" fillId="5" borderId="11" xfId="0" applyFont="1" applyFill="1" applyBorder="1" applyAlignment="1">
      <alignment horizontal="center" vertical="center" wrapText="1"/>
    </xf>
    <xf numFmtId="0" fontId="8" fillId="5" borderId="28" xfId="0" applyFont="1" applyFill="1" applyBorder="1" applyAlignment="1">
      <alignment horizontal="center" vertical="center" wrapText="1"/>
    </xf>
    <xf numFmtId="0" fontId="10" fillId="0" borderId="29" xfId="0" applyFont="1" applyBorder="1" applyAlignment="1">
      <alignment horizontal="left" vertical="center" wrapText="1"/>
    </xf>
    <xf numFmtId="0" fontId="10" fillId="0" borderId="30" xfId="0" applyFont="1" applyBorder="1" applyAlignment="1">
      <alignment horizontal="left" vertical="center" wrapText="1"/>
    </xf>
    <xf numFmtId="0" fontId="10" fillId="0" borderId="26" xfId="0" applyFont="1" applyBorder="1" applyAlignment="1">
      <alignment horizontal="left" vertical="center" wrapText="1"/>
    </xf>
    <xf numFmtId="0" fontId="10" fillId="0" borderId="27" xfId="0" applyFont="1" applyBorder="1" applyAlignment="1">
      <alignment horizontal="left" vertical="center" wrapText="1"/>
    </xf>
    <xf numFmtId="0" fontId="13" fillId="0" borderId="29" xfId="0" applyFont="1" applyBorder="1" applyAlignment="1">
      <alignment horizontal="left" vertical="top" wrapText="1"/>
    </xf>
    <xf numFmtId="0" fontId="13" fillId="0" borderId="30" xfId="0" applyFont="1" applyBorder="1" applyAlignment="1">
      <alignment horizontal="left" vertical="top" wrapText="1"/>
    </xf>
    <xf numFmtId="0" fontId="13" fillId="0" borderId="26" xfId="0" applyFont="1" applyBorder="1" applyAlignment="1">
      <alignment horizontal="left" vertical="top" wrapText="1"/>
    </xf>
    <xf numFmtId="0" fontId="13" fillId="0" borderId="27" xfId="0" applyFont="1" applyBorder="1" applyAlignment="1">
      <alignment horizontal="left" vertical="top" wrapText="1"/>
    </xf>
    <xf numFmtId="0" fontId="15" fillId="6" borderId="24" xfId="0" applyFont="1" applyFill="1" applyBorder="1" applyAlignment="1" applyProtection="1">
      <alignment horizontal="center" vertical="center" wrapText="1"/>
      <protection hidden="1"/>
    </xf>
    <xf numFmtId="0" fontId="15" fillId="6" borderId="25" xfId="0" applyFont="1" applyFill="1" applyBorder="1" applyAlignment="1" applyProtection="1">
      <alignment horizontal="center" vertical="center" wrapText="1"/>
      <protection hidden="1"/>
    </xf>
    <xf numFmtId="0" fontId="16" fillId="0" borderId="1" xfId="0" applyFont="1" applyBorder="1" applyAlignment="1" applyProtection="1">
      <alignment horizontal="center" vertical="center" wrapText="1"/>
      <protection hidden="1"/>
    </xf>
    <xf numFmtId="0" fontId="8" fillId="5" borderId="40" xfId="0" applyFont="1" applyFill="1" applyBorder="1" applyAlignment="1">
      <alignment horizontal="center" vertical="center" wrapText="1"/>
    </xf>
    <xf numFmtId="0" fontId="8" fillId="5" borderId="36" xfId="0" applyFont="1" applyFill="1" applyBorder="1" applyAlignment="1">
      <alignment horizontal="center" vertical="center" wrapText="1"/>
    </xf>
    <xf numFmtId="0" fontId="8" fillId="5" borderId="41" xfId="0" applyFont="1" applyFill="1" applyBorder="1" applyAlignment="1">
      <alignment horizontal="center" vertical="center" wrapText="1"/>
    </xf>
    <xf numFmtId="0" fontId="15" fillId="6" borderId="38" xfId="0" applyFont="1" applyFill="1" applyBorder="1" applyAlignment="1" applyProtection="1">
      <alignment horizontal="center" vertical="center" wrapText="1"/>
      <protection hidden="1"/>
    </xf>
    <xf numFmtId="0" fontId="15" fillId="6" borderId="39" xfId="0" applyFont="1" applyFill="1" applyBorder="1" applyAlignment="1" applyProtection="1">
      <alignment horizontal="center" vertical="center" wrapText="1"/>
      <protection hidden="1"/>
    </xf>
    <xf numFmtId="0" fontId="15" fillId="6" borderId="1" xfId="0" applyFont="1" applyFill="1" applyBorder="1" applyAlignment="1" applyProtection="1">
      <alignment horizontal="center" vertical="center" wrapText="1"/>
      <protection hidden="1"/>
    </xf>
    <xf numFmtId="0" fontId="8" fillId="5" borderId="31" xfId="0" applyFont="1" applyFill="1" applyBorder="1" applyAlignment="1">
      <alignment horizontal="center" vertical="center" wrapText="1"/>
    </xf>
    <xf numFmtId="0" fontId="8" fillId="5" borderId="12" xfId="0" applyFont="1" applyFill="1" applyBorder="1" applyAlignment="1">
      <alignment horizontal="center" vertical="center" wrapText="1"/>
    </xf>
    <xf numFmtId="0" fontId="8" fillId="5" borderId="4" xfId="0" applyFont="1" applyFill="1" applyBorder="1" applyAlignment="1">
      <alignment horizontal="center" vertical="center" wrapText="1"/>
    </xf>
    <xf numFmtId="0" fontId="8" fillId="5" borderId="9" xfId="0" applyFont="1" applyFill="1" applyBorder="1" applyAlignment="1">
      <alignment horizontal="center" vertical="center" wrapText="1"/>
    </xf>
    <xf numFmtId="0" fontId="13" fillId="4" borderId="32" xfId="0" applyFont="1" applyFill="1" applyBorder="1" applyAlignment="1">
      <alignment horizontal="left" vertical="center" wrapText="1"/>
    </xf>
    <xf numFmtId="0" fontId="8" fillId="5" borderId="7" xfId="0" applyFont="1" applyFill="1" applyBorder="1" applyAlignment="1">
      <alignment horizontal="center" vertical="center" wrapText="1"/>
    </xf>
    <xf numFmtId="0" fontId="8" fillId="5" borderId="8" xfId="0" applyFont="1" applyFill="1" applyBorder="1" applyAlignment="1">
      <alignment horizontal="center" vertical="center" wrapText="1"/>
    </xf>
    <xf numFmtId="0" fontId="13" fillId="0" borderId="45" xfId="0" applyFont="1" applyBorder="1" applyAlignment="1">
      <alignment horizontal="left" vertical="top" wrapText="1"/>
    </xf>
    <xf numFmtId="0" fontId="16" fillId="4" borderId="1" xfId="0" applyFont="1" applyFill="1" applyBorder="1" applyAlignment="1" applyProtection="1">
      <alignment horizontal="center" vertical="center" wrapText="1"/>
      <protection hidden="1"/>
    </xf>
    <xf numFmtId="0" fontId="8" fillId="5" borderId="42" xfId="0" applyFont="1" applyFill="1" applyBorder="1" applyAlignment="1">
      <alignment horizontal="center" vertical="center" wrapText="1"/>
    </xf>
    <xf numFmtId="0" fontId="8" fillId="5" borderId="34" xfId="0" applyFont="1" applyFill="1" applyBorder="1" applyAlignment="1">
      <alignment horizontal="center" vertical="center" wrapText="1"/>
    </xf>
    <xf numFmtId="0" fontId="15" fillId="6" borderId="33" xfId="0" applyFont="1" applyFill="1" applyBorder="1" applyAlignment="1" applyProtection="1">
      <alignment horizontal="center" vertical="center" wrapText="1"/>
      <protection hidden="1"/>
    </xf>
    <xf numFmtId="0" fontId="15" fillId="6" borderId="37" xfId="0" applyFont="1" applyFill="1" applyBorder="1" applyAlignment="1" applyProtection="1">
      <alignment horizontal="center" vertical="center" wrapText="1"/>
      <protection hidden="1"/>
    </xf>
  </cellXfs>
  <cellStyles count="2">
    <cellStyle name="Normal" xfId="0" builtinId="0"/>
    <cellStyle name="Normal 2 4 3" xfId="1" xr:uid="{A797EE45-C6E0-4305-A551-670C70F191A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microsoft.com/office/2017/06/relationships/rdRichValueStructure" Target="richData/rdrichvaluestructure.xml"/><Relationship Id="rId18" Type="http://schemas.openxmlformats.org/officeDocument/2006/relationships/customXml" Target="../customXml/item3.xml"/><Relationship Id="rId3" Type="http://schemas.openxmlformats.org/officeDocument/2006/relationships/externalLink" Target="externalLinks/externalLink2.xml"/><Relationship Id="rId7" Type="http://schemas.openxmlformats.org/officeDocument/2006/relationships/theme" Target="theme/theme1.xml"/><Relationship Id="rId12" Type="http://schemas.microsoft.com/office/2017/06/relationships/rdRichValue" Target="richData/rdrichvalue.xml"/><Relationship Id="rId17" Type="http://schemas.openxmlformats.org/officeDocument/2006/relationships/customXml" Target="../customXml/item2.xml"/><Relationship Id="rId2" Type="http://schemas.openxmlformats.org/officeDocument/2006/relationships/externalLink" Target="externalLinks/externalLink1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microsoft.com/office/2022/10/relationships/richValueRel" Target="richData/richValueRel.xml"/><Relationship Id="rId5" Type="http://schemas.openxmlformats.org/officeDocument/2006/relationships/externalLink" Target="externalLinks/externalLink4.xml"/><Relationship Id="rId15" Type="http://schemas.openxmlformats.org/officeDocument/2006/relationships/calcChain" Target="calcChain.xml"/><Relationship Id="rId10" Type="http://schemas.openxmlformats.org/officeDocument/2006/relationships/sheetMetadata" Target="metadata.xml"/><Relationship Id="rId4" Type="http://schemas.openxmlformats.org/officeDocument/2006/relationships/externalLink" Target="externalLinks/externalLink3.xml"/><Relationship Id="rId9" Type="http://schemas.openxmlformats.org/officeDocument/2006/relationships/sharedStrings" Target="sharedStrings.xml"/><Relationship Id="rId14" Type="http://schemas.microsoft.com/office/2017/06/relationships/rdRichValueTypes" Target="richData/rdRichValueTyp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personal/eduardo_rodrigueza_unicafam_edu_co/Documents/Desktop/UA%20Desarrollo%20de%20Aplicaciones%20para%20Telecomunicaciones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yuber/Dropbox/Espacio%20familiar/UNIR/RA/Matriz%20Resultados%20de%20Aprendizaje%20Especializaci&#243;n%20GSS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C23EED28/Formato%20UA%20Programa%20de%20Ingenieri&#769;a%20de%20Telecomunicaciones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personal/carlos_carrasco_unicafam_edu_co/Documents/En%20proceso/Plan%202023%20Circuitos%20electr&#243;nicos%20II%20V02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ervicios/OneDrive%20-%20Fundaci&#243;n%20Universitaria%20Cafam/Santiago/UA%20guias/8.%20Octavo%20semestre%20UA%20Espec&#237;fica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estroCompetencias"/>
      <sheetName val="MaestroResultadosA"/>
      <sheetName val="MaestroUA"/>
      <sheetName val="Desarrollo Aplicaciones I"/>
      <sheetName val="Desarrollo Aplicaciones II"/>
    </sheetNames>
    <sheetDataSet>
      <sheetData sheetId="0">
        <row r="2">
          <cell r="B2" t="str">
            <v>Diseñar la infraestructura de las redes de datos, sistemas telemáticos y radiocomunicaciones, para cubrir los requerimientos, necesidades y funcionamiento de los sistemas de comunicaciones de las organizaciones, bajo condiciones de calidad, factibilidad técnica, económica y de sustentabilidad; teniendo en cuenta las Arquitecturas, estándares, modelos, marcos generales y legales de telecomunicaciones.</v>
          </cell>
        </row>
        <row r="3">
          <cell r="B3" t="str">
            <v>Aplicar los elementos conceptuales de la generación y gestión de proyectos asociados a plataformas, sistemas y servicios de las Tecnologías de la información y las Comunicaciones; entendiendo la necesidad de estos en el avance y consolidación de las organizaciones con criterios de optimización y generación de valor.</v>
          </cell>
        </row>
        <row r="4">
          <cell r="B4" t="str">
            <v xml:space="preserve">Analizar el funcionamiento de circuitos eléctricos y electrónicos de los sistemas de telecomunicaciones, y su configuración a través del desarrollo de programas informáticos para telecomunicaciones; teniendo en cuenta las metodologías de desarrollo de software, los estándares y normas técnicas, buscando la optimización de los recursos disponibles. </v>
          </cell>
        </row>
        <row r="5">
          <cell r="B5" t="str">
            <v xml:space="preserve"> </v>
          </cell>
        </row>
        <row r="6">
          <cell r="B6" t="str">
            <v>Comp5</v>
          </cell>
        </row>
        <row r="7">
          <cell r="B7" t="str">
            <v>Comp6</v>
          </cell>
        </row>
        <row r="8">
          <cell r="B8" t="str">
            <v>Comp7</v>
          </cell>
        </row>
        <row r="9">
          <cell r="B9" t="str">
            <v>Comp8</v>
          </cell>
        </row>
        <row r="10">
          <cell r="B10" t="str">
            <v>Comp9</v>
          </cell>
        </row>
        <row r="11">
          <cell r="B11" t="str">
            <v>Comp10</v>
          </cell>
        </row>
      </sheetData>
      <sheetData sheetId="1">
        <row r="2">
          <cell r="B2" t="str">
            <v>Desarrolla el diseño y la configuración de las redes de datos y sistemas telemáticos, teniendo en cuenta la arquitectura de red, estándares, modelos, marcos generales y necesidades de la organización.</v>
          </cell>
        </row>
        <row r="3">
          <cell r="B3" t="str">
            <v>Desarrolla el diseño y la configuración de los sistemas de radiocomunicaciones teniendo en cuenta la tecnología, estándares, modelos, normas y el marco regulatorio y legal de las telecomunicaciones.</v>
          </cell>
        </row>
        <row r="4">
          <cell r="B4" t="str">
            <v>Propone proyectos de Tecnologías de Información y de Comunicaciones (TIC), estructurando y armonizando elementos de calidad, eficiencia, economía y sustentabilidad.</v>
          </cell>
        </row>
        <row r="5">
          <cell r="B5" t="str">
            <v>Analiza el funcionamiento de circuitos eléctricos y electrónicos de los sistemas de radiocomunicaciones y redes de datos, y su configuración a través del desarrollo de programas informáticos para telecomunicaciones.</v>
          </cell>
        </row>
        <row r="6">
          <cell r="B6" t="str">
            <v xml:space="preserve"> </v>
          </cell>
        </row>
        <row r="7">
          <cell r="B7" t="str">
            <v>ResAp06</v>
          </cell>
        </row>
        <row r="8">
          <cell r="B8" t="str">
            <v>ResAp07</v>
          </cell>
        </row>
        <row r="9">
          <cell r="B9" t="str">
            <v>ResAp08</v>
          </cell>
        </row>
        <row r="10">
          <cell r="B10" t="str">
            <v>ResAp09</v>
          </cell>
        </row>
        <row r="11">
          <cell r="B11" t="str">
            <v>ResAp10</v>
          </cell>
        </row>
      </sheetData>
      <sheetData sheetId="2">
        <row r="2">
          <cell r="B2" t="str">
            <v>Fundamentos de Redes de Datos</v>
          </cell>
        </row>
      </sheetData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tríz de RA"/>
      <sheetName val="Taxonomias "/>
      <sheetName val="RA"/>
      <sheetName val="Códigos "/>
    </sheetNames>
    <sheetDataSet>
      <sheetData sheetId="0" refreshError="1"/>
      <sheetData sheetId="1" refreshError="1"/>
      <sheetData sheetId="2" refreshError="1"/>
      <sheetData sheetId="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estroCompetencias"/>
      <sheetName val="MaestroResultadosA"/>
      <sheetName val="MaestroUA"/>
      <sheetName val="Algoritmos y Programación"/>
      <sheetName val="Programación Avanzada"/>
      <sheetName val="DesarrolloAplicaciones I"/>
      <sheetName val="DesarrolloAplicaciones II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estroCompetencias"/>
      <sheetName val="MaestroResultadosA"/>
      <sheetName val="MaestroRecursos"/>
      <sheetName val="MaestroNombreUA"/>
      <sheetName val="MaestroUA"/>
      <sheetName val="Hoja1"/>
    </sheetNames>
    <sheetDataSet>
      <sheetData sheetId="0"/>
      <sheetData sheetId="1"/>
      <sheetData sheetId="2">
        <row r="2">
          <cell r="B2"/>
        </row>
        <row r="3">
          <cell r="B3" t="str">
            <v>Acceso a Internet</v>
          </cell>
        </row>
        <row r="4">
          <cell r="B4" t="str">
            <v>Aula tradicional / (Tablero acrílico / Proyector / Otros)</v>
          </cell>
        </row>
        <row r="5">
          <cell r="B5" t="str">
            <v>Aula virtual / Acceso (MOODLE / CHAT / EMAIL / INTERNET / Otros)</v>
          </cell>
        </row>
        <row r="6">
          <cell r="B6" t="str">
            <v>Computador (escritorio / portátil)</v>
          </cell>
        </row>
        <row r="7">
          <cell r="B7" t="str">
            <v>Computador / Software automatización del diseño electrónico - EDA (Opciones: PROTEUS / MULTISIM / Otros)</v>
          </cell>
        </row>
        <row r="8">
          <cell r="B8" t="str">
            <v>Computador / Software compilador de código C# (Opciones: ECLIPSE / Otros)</v>
          </cell>
        </row>
        <row r="9">
          <cell r="B9" t="str">
            <v>Computador / Software creación y gestión mapas conceptuales (Opciones: CMAP / Otros)</v>
          </cell>
        </row>
        <row r="10">
          <cell r="B10" t="str">
            <v>Computador / Software Diagramas de Flujo de Datos (Opciones: DFD / VISIO / Otros)</v>
          </cell>
        </row>
        <row r="11">
          <cell r="B11" t="str">
            <v>Computador / Software editor de código (Opciones: NOTEPAD++ / VISUAL STUDIO / Otros)</v>
          </cell>
        </row>
        <row r="12">
          <cell r="B12" t="str">
            <v>Computador / Software hoja de cálculo (EXCEL / OPEN OFFICE / Otros)</v>
          </cell>
        </row>
        <row r="13">
          <cell r="B13" t="str">
            <v>Computador / Software para Diseño Asistido por Computador - CAD (Opciones: AUTOCAD / RHINOCEROS / SOLID WORKS / Otros)</v>
          </cell>
        </row>
        <row r="14">
          <cell r="B14" t="str">
            <v>Computador / Software procesador de texto (Opciones: WORD / LATEX / Otros)</v>
          </cell>
        </row>
        <row r="15">
          <cell r="B15" t="str">
            <v>Computador / Software procesamiento datos estadísticos (Opciones: MINITAB / R / Otros)</v>
          </cell>
        </row>
        <row r="16">
          <cell r="B16" t="str">
            <v>Computador / Software programación gráfica (Opciones: LABVIEW / SIMULINK / Otros)</v>
          </cell>
        </row>
        <row r="17">
          <cell r="B17" t="str">
            <v>Computador / Software simulación dispositivos electrónicos (Opciones: THINKERCAD / Otros)</v>
          </cell>
        </row>
        <row r="18">
          <cell r="B18" t="str">
            <v>Computador / Software simulación electromagnética (Opciones: MEEP-FDTD / FEKO / Otros)</v>
          </cell>
        </row>
        <row r="19">
          <cell r="B19" t="str">
            <v>Computador / Software simulación matemática (Opciones: MATLAB / SCILAB / OCTAVE / DERIVE / MATHCAD / Otros)</v>
          </cell>
        </row>
        <row r="20">
          <cell r="B20" t="str">
            <v>Computador / Software simulación procesos industriales (Opciones: FLEXIM / Otros)</v>
          </cell>
        </row>
        <row r="21">
          <cell r="B21" t="str">
            <v>Computador / Software simulador gráfico de red (Opciones: PACKET TRACER / GNS3 / Otros)</v>
          </cell>
        </row>
        <row r="22">
          <cell r="B22" t="str">
            <v>Laboratorio / Equipos de medición eléctrica (MULTÌMETRO / OSCILOSCOPIO / ANALIZAR ESPECTRO / Otros)</v>
          </cell>
        </row>
        <row r="23">
          <cell r="B23" t="str">
            <v>Laboratorio / Equipos de redes de telecomunicaciones</v>
          </cell>
        </row>
        <row r="24">
          <cell r="B24" t="str">
            <v>Laboratorio / Equipos fuente de energía (Generador sencillo / Generador dual / Generador de funciones)</v>
          </cell>
        </row>
        <row r="25">
          <cell r="B25" t="str">
            <v>Laboratorio / Herramienta para electricidad y electrónica (Alicate, Pinza, Destornillador, Cautín)</v>
          </cell>
        </row>
        <row r="26">
          <cell r="B26" t="str">
            <v>Laboratorio dispositivos de redes (SWITCH / ROUTER / TRANSCEIVER / MODEM / HUB</v>
          </cell>
        </row>
        <row r="27">
          <cell r="B27">
            <v>0</v>
          </cell>
        </row>
        <row r="28">
          <cell r="B28">
            <v>0</v>
          </cell>
        </row>
        <row r="29">
          <cell r="B29">
            <v>0</v>
          </cell>
        </row>
        <row r="30">
          <cell r="B30">
            <v>0</v>
          </cell>
        </row>
        <row r="31">
          <cell r="B31">
            <v>0</v>
          </cell>
        </row>
        <row r="32">
          <cell r="B32">
            <v>0</v>
          </cell>
        </row>
        <row r="33">
          <cell r="B33">
            <v>0</v>
          </cell>
        </row>
        <row r="34">
          <cell r="B34">
            <v>0</v>
          </cell>
        </row>
        <row r="35">
          <cell r="B35">
            <v>0</v>
          </cell>
        </row>
        <row r="36">
          <cell r="B36">
            <v>0</v>
          </cell>
        </row>
        <row r="37">
          <cell r="B37">
            <v>0</v>
          </cell>
        </row>
        <row r="38">
          <cell r="B38">
            <v>0</v>
          </cell>
        </row>
        <row r="39">
          <cell r="B39">
            <v>0</v>
          </cell>
        </row>
        <row r="40">
          <cell r="B40">
            <v>0</v>
          </cell>
        </row>
        <row r="41">
          <cell r="B41">
            <v>0</v>
          </cell>
        </row>
        <row r="42">
          <cell r="B42">
            <v>0</v>
          </cell>
        </row>
        <row r="43">
          <cell r="B43">
            <v>0</v>
          </cell>
        </row>
        <row r="44">
          <cell r="B44">
            <v>0</v>
          </cell>
        </row>
        <row r="45">
          <cell r="B45">
            <v>0</v>
          </cell>
        </row>
        <row r="46">
          <cell r="B46">
            <v>0</v>
          </cell>
        </row>
        <row r="47">
          <cell r="B47">
            <v>0</v>
          </cell>
        </row>
        <row r="48">
          <cell r="B48">
            <v>0</v>
          </cell>
        </row>
        <row r="49">
          <cell r="B49">
            <v>0</v>
          </cell>
        </row>
        <row r="50">
          <cell r="B50">
            <v>0</v>
          </cell>
        </row>
        <row r="51">
          <cell r="B51">
            <v>0</v>
          </cell>
        </row>
        <row r="52">
          <cell r="B52">
            <v>0</v>
          </cell>
        </row>
        <row r="53">
          <cell r="B53">
            <v>0</v>
          </cell>
        </row>
        <row r="54">
          <cell r="B54">
            <v>0</v>
          </cell>
        </row>
        <row r="55">
          <cell r="B55">
            <v>0</v>
          </cell>
        </row>
        <row r="56">
          <cell r="B56">
            <v>0</v>
          </cell>
        </row>
        <row r="57">
          <cell r="B57">
            <v>0</v>
          </cell>
        </row>
        <row r="58">
          <cell r="B58">
            <v>0</v>
          </cell>
        </row>
        <row r="59">
          <cell r="B59">
            <v>0</v>
          </cell>
        </row>
        <row r="60">
          <cell r="B60">
            <v>0</v>
          </cell>
        </row>
        <row r="61">
          <cell r="B61">
            <v>0</v>
          </cell>
        </row>
        <row r="62">
          <cell r="B62">
            <v>0</v>
          </cell>
        </row>
        <row r="63">
          <cell r="B63">
            <v>0</v>
          </cell>
        </row>
        <row r="64">
          <cell r="B64">
            <v>0</v>
          </cell>
        </row>
        <row r="65">
          <cell r="B65">
            <v>0</v>
          </cell>
        </row>
        <row r="66">
          <cell r="B66">
            <v>0</v>
          </cell>
        </row>
        <row r="67">
          <cell r="B67">
            <v>0</v>
          </cell>
        </row>
        <row r="68">
          <cell r="B68">
            <v>0</v>
          </cell>
        </row>
        <row r="69">
          <cell r="B69">
            <v>0</v>
          </cell>
        </row>
        <row r="70">
          <cell r="B70">
            <v>0</v>
          </cell>
        </row>
        <row r="71">
          <cell r="B71">
            <v>0</v>
          </cell>
        </row>
        <row r="72">
          <cell r="B72">
            <v>0</v>
          </cell>
        </row>
        <row r="73">
          <cell r="B73">
            <v>0</v>
          </cell>
        </row>
        <row r="74">
          <cell r="B74">
            <v>0</v>
          </cell>
        </row>
        <row r="75">
          <cell r="B75">
            <v>0</v>
          </cell>
        </row>
        <row r="76">
          <cell r="B76">
            <v>0</v>
          </cell>
        </row>
        <row r="77">
          <cell r="B77">
            <v>0</v>
          </cell>
        </row>
        <row r="78">
          <cell r="B78">
            <v>0</v>
          </cell>
        </row>
        <row r="79">
          <cell r="B79">
            <v>0</v>
          </cell>
        </row>
        <row r="80">
          <cell r="B80">
            <v>0</v>
          </cell>
        </row>
        <row r="81">
          <cell r="B81">
            <v>0</v>
          </cell>
        </row>
        <row r="82">
          <cell r="B82">
            <v>0</v>
          </cell>
        </row>
        <row r="83">
          <cell r="B83">
            <v>0</v>
          </cell>
        </row>
        <row r="84">
          <cell r="B84">
            <v>0</v>
          </cell>
        </row>
        <row r="85">
          <cell r="B85">
            <v>0</v>
          </cell>
        </row>
        <row r="86">
          <cell r="B86">
            <v>0</v>
          </cell>
        </row>
        <row r="87">
          <cell r="B87">
            <v>0</v>
          </cell>
        </row>
        <row r="88">
          <cell r="B88">
            <v>0</v>
          </cell>
        </row>
        <row r="89">
          <cell r="B89">
            <v>0</v>
          </cell>
        </row>
        <row r="90">
          <cell r="B90">
            <v>0</v>
          </cell>
        </row>
        <row r="91">
          <cell r="B91">
            <v>0</v>
          </cell>
        </row>
        <row r="92">
          <cell r="B92">
            <v>0</v>
          </cell>
        </row>
        <row r="93">
          <cell r="B93">
            <v>0</v>
          </cell>
        </row>
        <row r="94">
          <cell r="B94">
            <v>0</v>
          </cell>
        </row>
        <row r="95">
          <cell r="B95">
            <v>0</v>
          </cell>
        </row>
        <row r="96">
          <cell r="B96">
            <v>0</v>
          </cell>
        </row>
        <row r="97">
          <cell r="B97">
            <v>0</v>
          </cell>
        </row>
        <row r="98">
          <cell r="B98">
            <v>0</v>
          </cell>
        </row>
        <row r="99">
          <cell r="B99">
            <v>0</v>
          </cell>
        </row>
        <row r="100">
          <cell r="B100">
            <v>0</v>
          </cell>
        </row>
        <row r="101">
          <cell r="B101">
            <v>0</v>
          </cell>
        </row>
        <row r="102">
          <cell r="B102">
            <v>0</v>
          </cell>
        </row>
      </sheetData>
      <sheetData sheetId="3"/>
      <sheetData sheetId="4">
        <row r="2">
          <cell r="B2" t="str">
            <v>Fundamentos de Redes de Datos</v>
          </cell>
        </row>
      </sheetData>
      <sheetData sheetId="5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df"/>
      <sheetName val="Producción limpia"/>
      <sheetName val="Desarrollo de productos y servi"/>
      <sheetName val="Logística integral "/>
      <sheetName val="Practica profesional II"/>
    </sheetNames>
    <sheetDataSet>
      <sheetData sheetId="0"/>
      <sheetData sheetId="1"/>
      <sheetData sheetId="2"/>
      <sheetData sheetId="3"/>
      <sheetData sheetId="4"/>
    </sheetDataSet>
  </externalBook>
</externalLink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  <v>LOGO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  <k n="Text" t="s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586416-1FC7-4D13-854B-4ED6649884BC}">
  <sheetPr>
    <tabColor theme="8"/>
  </sheetPr>
  <dimension ref="B2:O54"/>
  <sheetViews>
    <sheetView tabSelected="1" workbookViewId="0">
      <selection activeCell="K10" sqref="K10:M10"/>
    </sheetView>
  </sheetViews>
  <sheetFormatPr baseColWidth="10" defaultColWidth="10.85546875" defaultRowHeight="15" x14ac:dyDescent="0.25"/>
  <cols>
    <col min="1" max="1" width="5.7109375" style="2" customWidth="1"/>
    <col min="2" max="6" width="24.7109375" style="2" customWidth="1"/>
    <col min="7" max="13" width="12.7109375" style="2" customWidth="1"/>
    <col min="14" max="14" width="13.85546875" style="2" customWidth="1"/>
    <col min="15" max="15" width="24.7109375" style="2" customWidth="1"/>
    <col min="16" max="16" width="5.85546875" style="2" customWidth="1"/>
    <col min="17" max="17" width="10.85546875" style="2"/>
    <col min="18" max="18" width="14" style="2" customWidth="1"/>
    <col min="19" max="16384" width="10.85546875" style="2"/>
  </cols>
  <sheetData>
    <row r="2" spans="2:15" ht="25.5" customHeight="1" x14ac:dyDescent="0.25">
      <c r="B2" s="60" t="e" vm="1">
        <v>#VALUE!</v>
      </c>
      <c r="C2" s="61" t="s">
        <v>0</v>
      </c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</row>
    <row r="3" spans="2:15" ht="24" customHeight="1" x14ac:dyDescent="0.25">
      <c r="B3" s="60"/>
      <c r="C3" s="62" t="s">
        <v>1</v>
      </c>
      <c r="D3" s="62"/>
      <c r="E3" s="62"/>
      <c r="F3" s="62"/>
      <c r="G3" s="62"/>
      <c r="H3" s="62"/>
      <c r="I3" s="62"/>
      <c r="J3" s="62"/>
      <c r="K3" s="62"/>
      <c r="L3" s="62"/>
      <c r="M3" s="62"/>
      <c r="N3" s="62"/>
      <c r="O3" s="62"/>
    </row>
    <row r="4" spans="2:15" ht="24" customHeight="1" x14ac:dyDescent="0.25">
      <c r="B4" s="60"/>
      <c r="C4" s="62"/>
      <c r="D4" s="62"/>
      <c r="E4" s="62"/>
      <c r="F4" s="62"/>
      <c r="G4" s="62"/>
      <c r="H4" s="62"/>
      <c r="I4" s="62"/>
      <c r="J4" s="62"/>
      <c r="K4" s="62"/>
      <c r="L4" s="62"/>
      <c r="M4" s="62"/>
      <c r="N4" s="62"/>
      <c r="O4" s="62"/>
    </row>
    <row r="5" spans="2:15" ht="20.100000000000001" customHeight="1" x14ac:dyDescent="0.25">
      <c r="B5" s="3" t="s">
        <v>2</v>
      </c>
      <c r="C5" s="1" t="s">
        <v>3</v>
      </c>
      <c r="D5" s="63" t="s">
        <v>4</v>
      </c>
      <c r="E5" s="63"/>
      <c r="F5" s="63"/>
      <c r="G5" s="1">
        <v>1</v>
      </c>
      <c r="H5" s="63" t="s">
        <v>5</v>
      </c>
      <c r="I5" s="63"/>
      <c r="J5" s="63"/>
      <c r="K5" s="64"/>
      <c r="L5" s="64"/>
      <c r="M5" s="63" t="s">
        <v>6</v>
      </c>
      <c r="N5" s="63"/>
      <c r="O5" s="1" t="s">
        <v>7</v>
      </c>
    </row>
    <row r="6" spans="2:15" ht="20.100000000000001" customHeight="1" x14ac:dyDescent="0.25">
      <c r="B6" s="44"/>
      <c r="C6" s="44"/>
      <c r="D6" s="44"/>
      <c r="E6" s="44"/>
      <c r="F6" s="44"/>
      <c r="G6" s="44"/>
      <c r="H6" s="44"/>
      <c r="I6" s="44"/>
      <c r="J6" s="44"/>
      <c r="K6" s="44"/>
      <c r="L6" s="44"/>
      <c r="M6" s="44"/>
      <c r="N6" s="44"/>
      <c r="O6" s="44"/>
    </row>
    <row r="7" spans="2:15" ht="20.100000000000001" customHeight="1" thickBot="1" x14ac:dyDescent="0.3">
      <c r="B7" s="45" t="s">
        <v>8</v>
      </c>
      <c r="C7" s="45"/>
      <c r="D7" s="45"/>
      <c r="E7" s="45"/>
      <c r="F7" s="45"/>
      <c r="G7" s="45"/>
      <c r="H7" s="45"/>
      <c r="I7" s="45"/>
      <c r="J7" s="45"/>
      <c r="K7" s="45"/>
      <c r="L7" s="45"/>
      <c r="M7" s="45"/>
      <c r="N7" s="45"/>
      <c r="O7" s="45"/>
    </row>
    <row r="8" spans="2:15" ht="18" customHeight="1" x14ac:dyDescent="0.25">
      <c r="B8" s="46" t="s">
        <v>9</v>
      </c>
      <c r="C8" s="48" t="s">
        <v>64</v>
      </c>
      <c r="D8" s="48"/>
      <c r="E8" s="48"/>
      <c r="F8" s="48"/>
      <c r="G8" s="50" t="s">
        <v>10</v>
      </c>
      <c r="H8" s="52">
        <v>2</v>
      </c>
      <c r="I8" s="50" t="s">
        <v>11</v>
      </c>
      <c r="J8" s="4" t="s">
        <v>12</v>
      </c>
      <c r="K8" s="4" t="s">
        <v>13</v>
      </c>
      <c r="L8" s="54" t="s">
        <v>14</v>
      </c>
      <c r="M8" s="4" t="s">
        <v>13</v>
      </c>
      <c r="N8" s="56" t="s">
        <v>15</v>
      </c>
      <c r="O8" s="58" t="s">
        <v>93</v>
      </c>
    </row>
    <row r="9" spans="2:15" ht="18" customHeight="1" x14ac:dyDescent="0.25">
      <c r="B9" s="47"/>
      <c r="C9" s="49"/>
      <c r="D9" s="49"/>
      <c r="E9" s="49"/>
      <c r="F9" s="49"/>
      <c r="G9" s="51"/>
      <c r="H9" s="53"/>
      <c r="I9" s="51"/>
      <c r="J9" s="5">
        <f>H8*8</f>
        <v>16</v>
      </c>
      <c r="K9" s="5">
        <f>H8*8</f>
        <v>16</v>
      </c>
      <c r="L9" s="55"/>
      <c r="M9" s="5">
        <f>J9*2+K9*2</f>
        <v>64</v>
      </c>
      <c r="N9" s="57"/>
      <c r="O9" s="59"/>
    </row>
    <row r="10" spans="2:15" ht="18" customHeight="1" thickBot="1" x14ac:dyDescent="0.3">
      <c r="B10" s="6" t="s">
        <v>16</v>
      </c>
      <c r="C10" s="72" t="s">
        <v>53</v>
      </c>
      <c r="D10" s="72"/>
      <c r="E10" s="72"/>
      <c r="F10" s="72"/>
      <c r="G10" s="72"/>
      <c r="H10" s="72"/>
      <c r="I10" s="72"/>
      <c r="J10" s="7" t="s">
        <v>17</v>
      </c>
      <c r="K10" s="73" t="s">
        <v>92</v>
      </c>
      <c r="L10" s="73"/>
      <c r="M10" s="73"/>
      <c r="N10" s="8" t="s">
        <v>18</v>
      </c>
      <c r="O10" s="9">
        <v>14029240401</v>
      </c>
    </row>
    <row r="11" spans="2:15" ht="18" customHeight="1" thickBot="1" x14ac:dyDescent="0.3">
      <c r="B11" s="10" t="s">
        <v>19</v>
      </c>
      <c r="C11" s="74" t="s">
        <v>65</v>
      </c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11"/>
    </row>
    <row r="12" spans="2:15" ht="42.75" customHeight="1" thickBot="1" x14ac:dyDescent="0.3">
      <c r="B12" s="12" t="s">
        <v>20</v>
      </c>
      <c r="C12" s="76" t="s">
        <v>66</v>
      </c>
      <c r="D12" s="76"/>
      <c r="E12" s="76"/>
      <c r="F12" s="76"/>
      <c r="G12" s="76"/>
      <c r="H12" s="76"/>
      <c r="I12" s="76"/>
      <c r="J12" s="76"/>
      <c r="K12" s="76"/>
      <c r="L12" s="76"/>
      <c r="M12" s="76"/>
      <c r="N12" s="76"/>
      <c r="O12" s="77"/>
    </row>
    <row r="13" spans="2:15" ht="30" customHeight="1" thickBot="1" x14ac:dyDescent="0.3">
      <c r="B13" s="78" t="s">
        <v>21</v>
      </c>
      <c r="C13" s="67"/>
      <c r="D13" s="65" t="s">
        <v>22</v>
      </c>
      <c r="E13" s="66"/>
      <c r="F13" s="66"/>
      <c r="G13" s="67"/>
      <c r="H13" s="79" t="s">
        <v>23</v>
      </c>
      <c r="I13" s="79"/>
      <c r="J13" s="79"/>
      <c r="K13" s="79" t="s">
        <v>24</v>
      </c>
      <c r="L13" s="79"/>
      <c r="M13" s="79"/>
      <c r="N13" s="79" t="s">
        <v>25</v>
      </c>
      <c r="O13" s="80"/>
    </row>
    <row r="14" spans="2:15" ht="100.5" customHeight="1" x14ac:dyDescent="0.25">
      <c r="B14" s="81" t="s">
        <v>67</v>
      </c>
      <c r="C14" s="82"/>
      <c r="D14" s="85" t="s">
        <v>68</v>
      </c>
      <c r="E14" s="86"/>
      <c r="F14" s="86"/>
      <c r="G14" s="87"/>
      <c r="H14" s="94" t="s">
        <v>70</v>
      </c>
      <c r="I14" s="94"/>
      <c r="J14" s="94"/>
      <c r="K14" s="94" t="s">
        <v>71</v>
      </c>
      <c r="L14" s="94"/>
      <c r="M14" s="94"/>
      <c r="N14" s="94" t="s">
        <v>69</v>
      </c>
      <c r="O14" s="97"/>
    </row>
    <row r="15" spans="2:15" ht="100.5" customHeight="1" x14ac:dyDescent="0.25">
      <c r="B15" s="81"/>
      <c r="C15" s="82"/>
      <c r="D15" s="88"/>
      <c r="E15" s="89"/>
      <c r="F15" s="89"/>
      <c r="G15" s="90"/>
      <c r="H15" s="95"/>
      <c r="I15" s="95"/>
      <c r="J15" s="95"/>
      <c r="K15" s="95"/>
      <c r="L15" s="95"/>
      <c r="M15" s="95"/>
      <c r="N15" s="95"/>
      <c r="O15" s="98"/>
    </row>
    <row r="16" spans="2:15" ht="100.5" customHeight="1" x14ac:dyDescent="0.25">
      <c r="B16" s="81"/>
      <c r="C16" s="82"/>
      <c r="D16" s="88"/>
      <c r="E16" s="89"/>
      <c r="F16" s="89"/>
      <c r="G16" s="90"/>
      <c r="H16" s="95"/>
      <c r="I16" s="95"/>
      <c r="J16" s="95"/>
      <c r="K16" s="95"/>
      <c r="L16" s="95"/>
      <c r="M16" s="95"/>
      <c r="N16" s="95"/>
      <c r="O16" s="98"/>
    </row>
    <row r="17" spans="2:15" ht="100.5" customHeight="1" thickBot="1" x14ac:dyDescent="0.3">
      <c r="B17" s="83"/>
      <c r="C17" s="84"/>
      <c r="D17" s="91"/>
      <c r="E17" s="92"/>
      <c r="F17" s="92"/>
      <c r="G17" s="93"/>
      <c r="H17" s="96"/>
      <c r="I17" s="96"/>
      <c r="J17" s="96"/>
      <c r="K17" s="96"/>
      <c r="L17" s="96"/>
      <c r="M17" s="96"/>
      <c r="N17" s="96"/>
      <c r="O17" s="99"/>
    </row>
    <row r="18" spans="2:15" ht="30" customHeight="1" x14ac:dyDescent="0.25">
      <c r="B18" s="46" t="s">
        <v>26</v>
      </c>
      <c r="C18" s="50" t="s">
        <v>27</v>
      </c>
      <c r="D18" s="65" t="s">
        <v>28</v>
      </c>
      <c r="E18" s="66"/>
      <c r="F18" s="67"/>
      <c r="G18" s="68" t="s">
        <v>29</v>
      </c>
      <c r="H18" s="69"/>
      <c r="I18" s="100" t="s">
        <v>30</v>
      </c>
      <c r="J18" s="101"/>
      <c r="K18" s="100" t="s">
        <v>31</v>
      </c>
      <c r="L18" s="121"/>
      <c r="M18" s="100" t="s">
        <v>32</v>
      </c>
      <c r="N18" s="101"/>
      <c r="O18" s="123" t="s">
        <v>33</v>
      </c>
    </row>
    <row r="19" spans="2:15" ht="15" customHeight="1" thickBot="1" x14ac:dyDescent="0.3">
      <c r="B19" s="126"/>
      <c r="C19" s="127"/>
      <c r="D19" s="7" t="s">
        <v>34</v>
      </c>
      <c r="E19" s="7" t="s">
        <v>35</v>
      </c>
      <c r="F19" s="7" t="s">
        <v>36</v>
      </c>
      <c r="G19" s="70"/>
      <c r="H19" s="71"/>
      <c r="I19" s="102"/>
      <c r="J19" s="103"/>
      <c r="K19" s="102"/>
      <c r="L19" s="122"/>
      <c r="M19" s="102"/>
      <c r="N19" s="103"/>
      <c r="O19" s="124"/>
    </row>
    <row r="20" spans="2:15" ht="174.75" customHeight="1" x14ac:dyDescent="0.25">
      <c r="B20" s="125"/>
      <c r="C20" s="41" t="s">
        <v>72</v>
      </c>
      <c r="D20" s="41" t="s">
        <v>73</v>
      </c>
      <c r="E20" s="41" t="s">
        <v>74</v>
      </c>
      <c r="F20" s="41" t="s">
        <v>75</v>
      </c>
      <c r="G20" s="104" t="s">
        <v>85</v>
      </c>
      <c r="H20" s="105"/>
      <c r="I20" s="108" t="s">
        <v>54</v>
      </c>
      <c r="J20" s="109"/>
      <c r="K20" s="108" t="s">
        <v>55</v>
      </c>
      <c r="L20" s="109"/>
      <c r="M20" s="108" t="s">
        <v>86</v>
      </c>
      <c r="N20" s="109"/>
      <c r="O20" s="128" t="s">
        <v>87</v>
      </c>
    </row>
    <row r="21" spans="2:15" ht="174.75" customHeight="1" x14ac:dyDescent="0.25">
      <c r="B21" s="125"/>
      <c r="C21" s="42" t="s">
        <v>76</v>
      </c>
      <c r="D21" s="42" t="s">
        <v>76</v>
      </c>
      <c r="E21" s="42" t="s">
        <v>77</v>
      </c>
      <c r="F21" s="42" t="s">
        <v>78</v>
      </c>
      <c r="G21" s="106"/>
      <c r="H21" s="107"/>
      <c r="I21" s="110"/>
      <c r="J21" s="111"/>
      <c r="K21" s="110"/>
      <c r="L21" s="111"/>
      <c r="M21" s="110"/>
      <c r="N21" s="111"/>
      <c r="O21" s="128"/>
    </row>
    <row r="22" spans="2:15" ht="174.75" customHeight="1" x14ac:dyDescent="0.25">
      <c r="B22" s="125"/>
      <c r="C22" s="43" t="s">
        <v>79</v>
      </c>
      <c r="D22" s="43" t="s">
        <v>79</v>
      </c>
      <c r="E22" s="43" t="s">
        <v>80</v>
      </c>
      <c r="F22" s="43" t="s">
        <v>81</v>
      </c>
      <c r="G22" s="106"/>
      <c r="H22" s="107"/>
      <c r="I22" s="110"/>
      <c r="J22" s="111"/>
      <c r="K22" s="110"/>
      <c r="L22" s="111"/>
      <c r="M22" s="110"/>
      <c r="N22" s="111"/>
      <c r="O22" s="128"/>
    </row>
    <row r="23" spans="2:15" ht="189.75" customHeight="1" thickBot="1" x14ac:dyDescent="0.3">
      <c r="B23" s="125"/>
      <c r="C23" s="43" t="s">
        <v>82</v>
      </c>
      <c r="D23" s="43" t="s">
        <v>82</v>
      </c>
      <c r="E23" s="43" t="s">
        <v>83</v>
      </c>
      <c r="F23" s="43" t="s">
        <v>84</v>
      </c>
      <c r="G23" s="106"/>
      <c r="H23" s="107"/>
      <c r="I23" s="110"/>
      <c r="J23" s="111"/>
      <c r="K23" s="110"/>
      <c r="L23" s="111"/>
      <c r="M23" s="110"/>
      <c r="N23" s="111"/>
      <c r="O23" s="128"/>
    </row>
    <row r="24" spans="2:15" ht="15" customHeight="1" x14ac:dyDescent="0.25">
      <c r="B24" s="130" t="s">
        <v>37</v>
      </c>
      <c r="C24" s="39" t="s">
        <v>56</v>
      </c>
      <c r="D24" s="23"/>
      <c r="E24" s="23"/>
      <c r="F24" s="23"/>
      <c r="G24" s="23"/>
      <c r="H24" s="23"/>
      <c r="I24" s="23"/>
      <c r="J24" s="24"/>
      <c r="K24" s="24"/>
      <c r="L24" s="24"/>
      <c r="M24" s="24"/>
      <c r="N24" s="24"/>
      <c r="O24" s="25"/>
    </row>
    <row r="25" spans="2:15" ht="15" customHeight="1" x14ac:dyDescent="0.25">
      <c r="B25" s="116"/>
      <c r="C25" s="37" t="s">
        <v>57</v>
      </c>
      <c r="D25" s="13"/>
      <c r="E25" s="13"/>
      <c r="F25" s="13"/>
      <c r="G25" s="13"/>
      <c r="H25" s="13"/>
      <c r="I25" s="13"/>
      <c r="J25"/>
      <c r="K25"/>
      <c r="L25"/>
      <c r="M25"/>
      <c r="N25"/>
      <c r="O25" s="14"/>
    </row>
    <row r="26" spans="2:15" ht="15" customHeight="1" x14ac:dyDescent="0.25">
      <c r="B26" s="116"/>
      <c r="C26" s="37" t="s">
        <v>58</v>
      </c>
      <c r="D26" s="13"/>
      <c r="E26" s="13"/>
      <c r="F26" s="13"/>
      <c r="G26" s="13"/>
      <c r="H26" s="13"/>
      <c r="I26" s="13"/>
      <c r="J26"/>
      <c r="K26"/>
      <c r="L26"/>
      <c r="M26"/>
      <c r="N26"/>
      <c r="O26" s="14"/>
    </row>
    <row r="27" spans="2:15" ht="15" customHeight="1" x14ac:dyDescent="0.25">
      <c r="B27" s="116"/>
      <c r="C27" s="37" t="s">
        <v>59</v>
      </c>
      <c r="D27" s="13"/>
      <c r="E27" s="13"/>
      <c r="F27" s="13"/>
      <c r="G27" s="13"/>
      <c r="H27" s="13"/>
      <c r="I27" s="13"/>
      <c r="J27"/>
      <c r="K27"/>
      <c r="L27"/>
      <c r="M27"/>
      <c r="N27"/>
      <c r="O27" s="14"/>
    </row>
    <row r="28" spans="2:15" ht="15" customHeight="1" x14ac:dyDescent="0.25">
      <c r="B28" s="116"/>
      <c r="C28" s="37" t="s">
        <v>60</v>
      </c>
      <c r="D28" s="13"/>
      <c r="E28" s="13"/>
      <c r="F28" s="13"/>
      <c r="G28" s="13"/>
      <c r="H28" s="13"/>
      <c r="I28" s="13"/>
      <c r="J28"/>
      <c r="K28"/>
      <c r="L28"/>
      <c r="M28"/>
      <c r="N28"/>
      <c r="O28" s="14"/>
    </row>
    <row r="29" spans="2:15" ht="15" customHeight="1" x14ac:dyDescent="0.25">
      <c r="B29" s="116"/>
      <c r="C29" s="37" t="s">
        <v>61</v>
      </c>
      <c r="D29" s="13"/>
      <c r="E29" s="13"/>
      <c r="F29" s="13"/>
      <c r="G29" s="13"/>
      <c r="H29" s="13"/>
      <c r="I29" s="13"/>
      <c r="J29"/>
      <c r="K29"/>
      <c r="L29"/>
      <c r="M29"/>
      <c r="N29"/>
      <c r="O29" s="14"/>
    </row>
    <row r="30" spans="2:15" ht="15" customHeight="1" x14ac:dyDescent="0.25">
      <c r="B30" s="116"/>
      <c r="C30" s="31" t="s">
        <v>62</v>
      </c>
      <c r="D30" s="13"/>
      <c r="E30" s="13"/>
      <c r="F30" s="13"/>
      <c r="G30" s="13"/>
      <c r="H30" s="13"/>
      <c r="I30" s="13"/>
      <c r="J30"/>
      <c r="K30"/>
      <c r="L30"/>
      <c r="M30"/>
      <c r="N30"/>
      <c r="O30" s="14"/>
    </row>
    <row r="31" spans="2:15" ht="15" customHeight="1" x14ac:dyDescent="0.25">
      <c r="B31" s="131"/>
      <c r="C31" s="38" t="s">
        <v>63</v>
      </c>
      <c r="D31" s="33"/>
      <c r="E31" s="33"/>
      <c r="F31" s="33"/>
      <c r="G31" s="33"/>
      <c r="H31" s="33"/>
      <c r="I31" s="33"/>
      <c r="J31" s="33"/>
      <c r="K31" s="33"/>
      <c r="L31" s="33"/>
      <c r="M31" s="33"/>
      <c r="N31" s="33"/>
      <c r="O31" s="40"/>
    </row>
    <row r="32" spans="2:15" ht="15" customHeight="1" x14ac:dyDescent="0.25">
      <c r="B32" s="115" t="s">
        <v>38</v>
      </c>
      <c r="C32" s="34" t="s">
        <v>88</v>
      </c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6"/>
    </row>
    <row r="33" spans="2:15" ht="15" customHeight="1" x14ac:dyDescent="0.25">
      <c r="B33" s="116"/>
      <c r="C33" s="35" t="s">
        <v>89</v>
      </c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27"/>
    </row>
    <row r="34" spans="2:15" ht="15" customHeight="1" x14ac:dyDescent="0.25">
      <c r="B34" s="116"/>
      <c r="C34" s="35" t="s">
        <v>90</v>
      </c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27"/>
    </row>
    <row r="35" spans="2:15" ht="15" customHeight="1" x14ac:dyDescent="0.25">
      <c r="B35" s="116"/>
      <c r="C35" s="36" t="s">
        <v>91</v>
      </c>
      <c r="D35" s="32"/>
      <c r="E35" s="32"/>
      <c r="F35" s="32"/>
      <c r="G35" s="32"/>
      <c r="H35" s="32"/>
      <c r="I35" s="32"/>
      <c r="J35" s="32"/>
      <c r="K35" s="32"/>
      <c r="L35" s="32"/>
      <c r="M35" s="32"/>
      <c r="N35" s="32"/>
      <c r="O35" s="27"/>
    </row>
    <row r="36" spans="2:15" ht="15" customHeight="1" x14ac:dyDescent="0.25">
      <c r="B36" s="116"/>
      <c r="C36" s="35"/>
      <c r="D36" s="32"/>
      <c r="E36" s="32"/>
      <c r="F36" s="32"/>
      <c r="G36" s="32"/>
      <c r="H36" s="32"/>
      <c r="I36" s="32"/>
      <c r="J36" s="32"/>
      <c r="K36" s="32"/>
      <c r="L36" s="32"/>
      <c r="M36" s="32"/>
      <c r="N36" s="32"/>
      <c r="O36" s="27"/>
    </row>
    <row r="37" spans="2:15" ht="15" customHeight="1" x14ac:dyDescent="0.25">
      <c r="B37" s="116"/>
      <c r="C37" s="22"/>
      <c r="D37" s="32"/>
      <c r="E37" s="32"/>
      <c r="F37" s="32"/>
      <c r="G37" s="32"/>
      <c r="H37" s="32"/>
      <c r="I37" s="32"/>
      <c r="J37" s="32"/>
      <c r="K37" s="32"/>
      <c r="L37" s="32"/>
      <c r="M37" s="32"/>
      <c r="N37" s="32"/>
      <c r="O37" s="27"/>
    </row>
    <row r="38" spans="2:15" ht="15" customHeight="1" thickBot="1" x14ac:dyDescent="0.3">
      <c r="B38" s="117"/>
      <c r="C38" s="28"/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30"/>
    </row>
    <row r="40" spans="2:15" ht="24.75" customHeight="1" x14ac:dyDescent="0.25">
      <c r="B40" s="132" t="s">
        <v>39</v>
      </c>
      <c r="C40" s="133"/>
      <c r="D40" s="133"/>
      <c r="E40" s="133"/>
      <c r="F40" s="133"/>
      <c r="G40" s="133"/>
      <c r="H40" s="133"/>
      <c r="I40" s="133"/>
      <c r="J40" s="133"/>
      <c r="K40" s="133"/>
      <c r="L40" s="133"/>
      <c r="M40" s="133"/>
      <c r="N40" s="133"/>
      <c r="O40" s="133"/>
    </row>
    <row r="41" spans="2:15" ht="24.75" customHeight="1" x14ac:dyDescent="0.25">
      <c r="B41" s="120" t="s">
        <v>4</v>
      </c>
      <c r="C41" s="120"/>
      <c r="D41" s="118" t="s">
        <v>40</v>
      </c>
      <c r="E41" s="118"/>
      <c r="F41" s="118"/>
      <c r="G41" s="118"/>
      <c r="H41" s="119"/>
      <c r="I41" s="16"/>
      <c r="J41" s="120" t="s">
        <v>41</v>
      </c>
      <c r="K41" s="120"/>
      <c r="L41" s="120"/>
      <c r="M41" s="120"/>
      <c r="N41" s="120"/>
      <c r="O41" s="120"/>
    </row>
    <row r="42" spans="2:15" ht="24.75" customHeight="1" x14ac:dyDescent="0.25">
      <c r="B42" s="120"/>
      <c r="C42" s="120"/>
      <c r="D42" s="16" t="s">
        <v>42</v>
      </c>
      <c r="E42" s="17"/>
      <c r="F42" s="112" t="s">
        <v>43</v>
      </c>
      <c r="G42" s="113"/>
      <c r="H42" s="15" t="s">
        <v>44</v>
      </c>
      <c r="I42" s="15"/>
      <c r="J42" s="120"/>
      <c r="K42" s="120"/>
      <c r="L42" s="120"/>
      <c r="M42" s="120"/>
      <c r="N42" s="120"/>
      <c r="O42" s="120"/>
    </row>
    <row r="43" spans="2:15" ht="24.75" customHeight="1" x14ac:dyDescent="0.25">
      <c r="B43" s="114">
        <v>1</v>
      </c>
      <c r="C43" s="114"/>
      <c r="D43" s="19"/>
      <c r="E43" s="19"/>
      <c r="F43" s="64"/>
      <c r="G43" s="64"/>
      <c r="H43" s="18"/>
      <c r="I43" s="18"/>
      <c r="J43" s="114" t="s">
        <v>45</v>
      </c>
      <c r="K43" s="114"/>
      <c r="L43" s="114"/>
      <c r="M43" s="114"/>
      <c r="N43" s="114"/>
      <c r="O43" s="114"/>
    </row>
    <row r="44" spans="2:15" ht="24.75" customHeight="1" x14ac:dyDescent="0.25">
      <c r="B44" s="20"/>
      <c r="G44" s="20"/>
      <c r="H44" s="20"/>
      <c r="I44" s="20"/>
    </row>
    <row r="45" spans="2:15" ht="24.75" customHeight="1" x14ac:dyDescent="0.25">
      <c r="B45" s="63" t="s">
        <v>46</v>
      </c>
      <c r="C45" s="63"/>
      <c r="D45" s="63"/>
      <c r="E45" s="63"/>
      <c r="F45" s="63"/>
      <c r="G45" s="63"/>
      <c r="H45" s="63"/>
      <c r="I45" s="63"/>
      <c r="J45" s="63"/>
      <c r="K45" s="63"/>
      <c r="L45" s="63"/>
      <c r="M45" s="63"/>
      <c r="N45" s="63"/>
      <c r="O45" s="63"/>
    </row>
    <row r="46" spans="2:15" ht="24.75" customHeight="1" x14ac:dyDescent="0.25">
      <c r="B46" s="63" t="s">
        <v>47</v>
      </c>
      <c r="C46" s="63"/>
      <c r="D46" s="63"/>
      <c r="E46" s="63"/>
      <c r="F46" s="63"/>
      <c r="G46" s="63"/>
      <c r="H46" s="63"/>
      <c r="I46" s="63"/>
      <c r="J46" s="63"/>
      <c r="K46" s="63"/>
      <c r="L46" s="63"/>
      <c r="M46" s="63"/>
      <c r="N46" s="63"/>
      <c r="O46" s="63"/>
    </row>
    <row r="47" spans="2:15" ht="24.75" customHeight="1" x14ac:dyDescent="0.25">
      <c r="B47" s="120" t="s">
        <v>48</v>
      </c>
      <c r="C47" s="120"/>
      <c r="D47" s="120"/>
      <c r="E47" s="120"/>
      <c r="F47" s="120"/>
      <c r="G47" s="120"/>
      <c r="H47" s="120" t="s">
        <v>49</v>
      </c>
      <c r="I47" s="120"/>
      <c r="J47" s="120"/>
      <c r="K47" s="120"/>
      <c r="L47" s="120"/>
      <c r="M47" s="120" t="s">
        <v>50</v>
      </c>
      <c r="N47" s="120"/>
      <c r="O47" s="120"/>
    </row>
    <row r="48" spans="2:15" ht="24.75" customHeight="1" x14ac:dyDescent="0.25">
      <c r="B48" s="129"/>
      <c r="C48" s="129"/>
      <c r="D48" s="129"/>
      <c r="E48" s="129"/>
      <c r="F48" s="129"/>
      <c r="G48" s="129"/>
      <c r="H48" s="129"/>
      <c r="I48" s="129"/>
      <c r="J48" s="129"/>
      <c r="K48" s="129"/>
      <c r="L48" s="129"/>
      <c r="M48" s="129"/>
      <c r="N48" s="129"/>
      <c r="O48" s="129"/>
    </row>
    <row r="49" spans="2:15" ht="24.75" customHeight="1" x14ac:dyDescent="0.25">
      <c r="B49" s="120" t="s">
        <v>51</v>
      </c>
      <c r="C49" s="120"/>
      <c r="D49" s="120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</row>
    <row r="50" spans="2:15" ht="24.75" customHeight="1" x14ac:dyDescent="0.25">
      <c r="B50" s="120" t="s">
        <v>48</v>
      </c>
      <c r="C50" s="120"/>
      <c r="D50" s="120"/>
      <c r="E50" s="120"/>
      <c r="F50" s="120"/>
      <c r="G50" s="120"/>
      <c r="H50" s="120" t="s">
        <v>49</v>
      </c>
      <c r="I50" s="120"/>
      <c r="J50" s="120"/>
      <c r="K50" s="120"/>
      <c r="L50" s="120"/>
      <c r="M50" s="120" t="s">
        <v>50</v>
      </c>
      <c r="N50" s="120"/>
      <c r="O50" s="120"/>
    </row>
    <row r="51" spans="2:15" ht="24.75" customHeight="1" x14ac:dyDescent="0.25">
      <c r="B51" s="129"/>
      <c r="C51" s="129"/>
      <c r="D51" s="129"/>
      <c r="E51" s="129"/>
      <c r="F51" s="129"/>
      <c r="G51" s="129"/>
      <c r="H51" s="129"/>
      <c r="I51" s="129"/>
      <c r="J51" s="129"/>
      <c r="K51" s="129"/>
      <c r="L51" s="129"/>
      <c r="M51" s="129"/>
      <c r="N51" s="129"/>
      <c r="O51" s="129"/>
    </row>
    <row r="52" spans="2:15" ht="24.75" customHeight="1" x14ac:dyDescent="0.25">
      <c r="B52" s="120" t="s">
        <v>52</v>
      </c>
      <c r="C52" s="120"/>
      <c r="D52" s="120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</row>
    <row r="53" spans="2:15" ht="24.75" customHeight="1" x14ac:dyDescent="0.25">
      <c r="B53" s="120" t="s">
        <v>48</v>
      </c>
      <c r="C53" s="120"/>
      <c r="D53" s="120"/>
      <c r="E53" s="120"/>
      <c r="F53" s="120"/>
      <c r="G53" s="120"/>
      <c r="H53" s="120" t="s">
        <v>49</v>
      </c>
      <c r="I53" s="120"/>
      <c r="J53" s="120"/>
      <c r="K53" s="120"/>
      <c r="L53" s="120"/>
      <c r="M53" s="120" t="s">
        <v>50</v>
      </c>
      <c r="N53" s="120"/>
      <c r="O53" s="120"/>
    </row>
    <row r="54" spans="2:15" ht="24.75" customHeight="1" x14ac:dyDescent="0.25">
      <c r="B54" s="129"/>
      <c r="C54" s="129"/>
      <c r="D54" s="129"/>
      <c r="E54" s="129"/>
      <c r="F54" s="129"/>
      <c r="G54" s="129"/>
      <c r="H54" s="129"/>
      <c r="I54" s="129"/>
      <c r="J54" s="129"/>
      <c r="K54" s="129"/>
      <c r="L54" s="129"/>
      <c r="M54" s="129"/>
      <c r="N54" s="129"/>
      <c r="O54" s="129"/>
    </row>
  </sheetData>
  <mergeCells count="77">
    <mergeCell ref="B24:B31"/>
    <mergeCell ref="B48:G48"/>
    <mergeCell ref="H48:L48"/>
    <mergeCell ref="M48:O48"/>
    <mergeCell ref="B49:O49"/>
    <mergeCell ref="B47:G47"/>
    <mergeCell ref="H47:L47"/>
    <mergeCell ref="M47:O47"/>
    <mergeCell ref="B40:O40"/>
    <mergeCell ref="B41:C42"/>
    <mergeCell ref="B45:O45"/>
    <mergeCell ref="B46:O46"/>
    <mergeCell ref="K20:L23"/>
    <mergeCell ref="M20:N23"/>
    <mergeCell ref="O20:O23"/>
    <mergeCell ref="B54:G54"/>
    <mergeCell ref="H54:L54"/>
    <mergeCell ref="M54:O54"/>
    <mergeCell ref="B51:G51"/>
    <mergeCell ref="H51:L51"/>
    <mergeCell ref="M51:O51"/>
    <mergeCell ref="B52:O52"/>
    <mergeCell ref="B53:G53"/>
    <mergeCell ref="H53:L53"/>
    <mergeCell ref="M53:O53"/>
    <mergeCell ref="B50:G50"/>
    <mergeCell ref="H50:L50"/>
    <mergeCell ref="M50:O50"/>
    <mergeCell ref="I18:J19"/>
    <mergeCell ref="G20:H23"/>
    <mergeCell ref="I20:J23"/>
    <mergeCell ref="F42:G42"/>
    <mergeCell ref="B43:C43"/>
    <mergeCell ref="F43:G43"/>
    <mergeCell ref="J43:O43"/>
    <mergeCell ref="B32:B38"/>
    <mergeCell ref="D41:H41"/>
    <mergeCell ref="J41:O42"/>
    <mergeCell ref="K18:L19"/>
    <mergeCell ref="M18:N19"/>
    <mergeCell ref="O18:O19"/>
    <mergeCell ref="B20:B23"/>
    <mergeCell ref="B18:B19"/>
    <mergeCell ref="C18:C19"/>
    <mergeCell ref="D18:F18"/>
    <mergeCell ref="G18:H19"/>
    <mergeCell ref="C10:I10"/>
    <mergeCell ref="K10:M10"/>
    <mergeCell ref="C11:N11"/>
    <mergeCell ref="C12:O12"/>
    <mergeCell ref="B13:C13"/>
    <mergeCell ref="D13:G13"/>
    <mergeCell ref="H13:J13"/>
    <mergeCell ref="K13:M13"/>
    <mergeCell ref="N13:O13"/>
    <mergeCell ref="B14:C17"/>
    <mergeCell ref="D14:G17"/>
    <mergeCell ref="H14:J17"/>
    <mergeCell ref="K14:M17"/>
    <mergeCell ref="N14:O17"/>
    <mergeCell ref="B2:B4"/>
    <mergeCell ref="C2:O2"/>
    <mergeCell ref="C3:O4"/>
    <mergeCell ref="D5:F5"/>
    <mergeCell ref="H5:J5"/>
    <mergeCell ref="K5:L5"/>
    <mergeCell ref="M5:N5"/>
    <mergeCell ref="B6:O6"/>
    <mergeCell ref="B7:O7"/>
    <mergeCell ref="B8:B9"/>
    <mergeCell ref="C8:F9"/>
    <mergeCell ref="G8:G9"/>
    <mergeCell ref="H8:H9"/>
    <mergeCell ref="I8:I9"/>
    <mergeCell ref="L8:L9"/>
    <mergeCell ref="N8:N9"/>
    <mergeCell ref="O8:O9"/>
  </mergeCells>
  <pageMargins left="0.7" right="0.7" top="0.75" bottom="0.75" header="0.3" footer="0.3"/>
  <pageSetup scale="36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6373757E197BB42942B4A9A0274FAAA" ma:contentTypeVersion="11" ma:contentTypeDescription="Create a new document." ma:contentTypeScope="" ma:versionID="fd182b66ae768f954ad6f2675a480f8d">
  <xsd:schema xmlns:xsd="http://www.w3.org/2001/XMLSchema" xmlns:xs="http://www.w3.org/2001/XMLSchema" xmlns:p="http://schemas.microsoft.com/office/2006/metadata/properties" xmlns:ns2="70472de4-25fe-4884-b643-3e0cf4eb638a" xmlns:ns3="e3f848b3-f331-4ded-b5e3-b2696db713db" targetNamespace="http://schemas.microsoft.com/office/2006/metadata/properties" ma:root="true" ma:fieldsID="c66afd5f7d0b3d160fd42e275d5ac1bd" ns2:_="" ns3:_="">
    <xsd:import namespace="70472de4-25fe-4884-b643-3e0cf4eb638a"/>
    <xsd:import namespace="e3f848b3-f331-4ded-b5e3-b2696db713d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0472de4-25fe-4884-b643-3e0cf4eb638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e97d0d12-649e-4fe4-9e57-9c758ea7362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3f848b3-f331-4ded-b5e3-b2696db713db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66fbd7b-9083-40c3-a03e-0d983f6c8753}" ma:internalName="TaxCatchAll" ma:showField="CatchAllData" ma:web="e3f848b3-f331-4ded-b5e3-b2696db713d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3f848b3-f331-4ded-b5e3-b2696db713db" xsi:nil="true"/>
    <lcf76f155ced4ddcb4097134ff3c332f xmlns="70472de4-25fe-4884-b643-3e0cf4eb638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05D31FE-140B-4B20-9872-B4CA8996473C}"/>
</file>

<file path=customXml/itemProps2.xml><?xml version="1.0" encoding="utf-8"?>
<ds:datastoreItem xmlns:ds="http://schemas.openxmlformats.org/officeDocument/2006/customXml" ds:itemID="{C47729B1-DBD6-46BD-801D-051AFD507103}"/>
</file>

<file path=customXml/itemProps3.xml><?xml version="1.0" encoding="utf-8"?>
<ds:datastoreItem xmlns:ds="http://schemas.openxmlformats.org/officeDocument/2006/customXml" ds:itemID="{48708C58-5E4E-4A98-B1CE-C34C62F62F6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UA</vt:lpstr>
      <vt:lpstr>UA!Área_de_impresión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Fulbia Emilia Cerón Gomez</dc:creator>
  <cp:keywords/>
  <dc:description/>
  <cp:lastModifiedBy>Fulbia Emilia Cerón Gomez</cp:lastModifiedBy>
  <cp:revision/>
  <dcterms:created xsi:type="dcterms:W3CDTF">2025-05-09T12:44:33Z</dcterms:created>
  <dcterms:modified xsi:type="dcterms:W3CDTF">2025-07-03T20:10:41Z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0x01010036373757E197BB42942B4A9A0274FAAA</vt:lpwstr>
  </property>
</Properties>
</file>