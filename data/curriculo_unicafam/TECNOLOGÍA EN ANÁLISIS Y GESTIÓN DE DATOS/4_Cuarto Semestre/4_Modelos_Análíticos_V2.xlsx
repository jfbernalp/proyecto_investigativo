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unicafamnet-my.sharepoint.com/personal/fulbia_ceron_unicafam_edu_co/Documents/Desktop/Tecnología_Analisis_Gestion_Datos/"/>
    </mc:Choice>
  </mc:AlternateContent>
  <xr:revisionPtr revIDLastSave="19" documentId="8_{27AB1C6A-B26B-484C-A4E2-2274FCA83206}" xr6:coauthVersionLast="47" xr6:coauthVersionMax="47" xr10:uidLastSave="{5302EC4F-9D67-4102-80F9-F565E699F0CA}"/>
  <bookViews>
    <workbookView xWindow="28680" yWindow="-120" windowWidth="20730" windowHeight="11040" xr2:uid="{D045EBC1-9F1A-4E8F-9507-08B169AA9639}"/>
  </bookViews>
  <sheets>
    <sheet name="4Modelos Análíticos" sheetId="1" r:id="rId1"/>
  </sheets>
  <externalReferences>
    <externalReference r:id="rId2"/>
    <externalReference r:id="rId3"/>
    <externalReference r:id="rId4"/>
    <externalReference r:id="rId5"/>
    <externalReference r:id="rId6"/>
    <externalReference r:id="rId7"/>
    <externalReference r:id="rId8"/>
  </externalReferences>
  <definedNames>
    <definedName name="Competencias">[1]MaestroCompetencias!$B$2:$B$11</definedName>
    <definedName name="CRÉDITOS">'[2]Códigos '!$AK$70:$AK$74</definedName>
    <definedName name="DatosCompleto" localSheetId="0">[3]MaestroUA!$B$2:$M$89</definedName>
    <definedName name="DatosCompleto">[4]MaestroUA!$B$2:$M$89</definedName>
    <definedName name="ingenieria">#REF!</definedName>
    <definedName name="RedacciónRecurso">[5]MaestroRecursos!$B$2:$B$102</definedName>
    <definedName name="ResultadoAprendizaje">[1]MaestroResultadosA!$B$2:$B$12</definedName>
    <definedName name="Semestre" localSheetId="0">[6]asdf!$A$13:$A$20</definedName>
    <definedName name="Semestre">[7]asdf!$A$13:$A$20</definedName>
    <definedName name="TIPOLOGÍA">'[2]Códigos '!$AJ$70:$AJ$72</definedName>
    <definedName name="UnidadAcademica" localSheetId="0">[3]MaestroUA!$B$2:$B$89</definedName>
    <definedName name="UnidadAcademica">[4]MaestroUA!$B$2:$B$89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 l="1"/>
  <c r="M8"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<sst xmlns="http://schemas.openxmlformats.org/spreadsheetml/2006/main" count="92" uniqueCount="82">
  <si>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</si>
  <si>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</si>
  <si>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</si>
  <si>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</si>
  <si>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</si>
  <si>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</si>
  <si>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</si>
  <si>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</si>
  <si>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</si>
  <si>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</si>
  <si>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MODELOS ANALÍTICOS</t>
  </si>
  <si>
    <t>N° Créditos:</t>
  </si>
  <si>
    <t>TFD:</t>
  </si>
  <si>
    <t>TTI:</t>
  </si>
  <si>
    <t>MODALIDAD:</t>
  </si>
  <si>
    <t>Presencial</t>
  </si>
  <si>
    <t>PROGRAMA:</t>
  </si>
  <si>
    <t>Tecnología de Análisis y Gestión de Datos</t>
  </si>
  <si>
    <t>SEMESTRE:</t>
  </si>
  <si>
    <t>IV</t>
  </si>
  <si>
    <t>CÓDIGO:</t>
  </si>
  <si>
    <t>ÁREA DE FORMACIÓN:</t>
  </si>
  <si>
    <t>Específica</t>
  </si>
  <si>
    <t>JUSTIFICACIÓN:</t>
  </si>
  <si>
    <t>Cuando queremos estudiar un proceso, lo más seguro es que no conozcamos el modelo teórico de la misma base de datos.  los modelos analíticos son la base de todo sistema de inteligencia artificial y por lo tanto cuánto más preciso sea el modelo analítico, las predicciones y optimizaciones serán más óptimas y las decisiones basadas en estas serán mejores generando un mayor valor para la organización.</t>
  </si>
  <si>
    <t xml:space="preserve">COMPETENCIA </t>
  </si>
  <si>
    <t>SABERES ESPECÍFICOS 
(saber)</t>
  </si>
  <si>
    <t xml:space="preserve">HABILIDADES O DESTREZAS 
(saber hacer) </t>
  </si>
  <si>
    <t xml:space="preserve">ACTITUDES 
(saber ser) </t>
  </si>
  <si>
    <t xml:space="preserve">APRENDER A APRENDER </t>
  </si>
  <si>
    <t>Procesar datos que permitan identificar patrones y generar hipótesis sobre la relación entre estos.</t>
  </si>
  <si>
    <t>1.	Definición de modelos analíticos
2.	Tipos de modelos analíticos
3.	Modelos analíticos supervisados: 
•	Árboles de Decisiones
•	Random forest
•	Regresión lineal.
•	Regresión logística.
•	Clasificación de Naïve Bayes.
•	Support Vector Machines (SVM).
•	Métodos “Ensemble” (Conjuntos de clasificadores).
•	Reglas de Asociación
4.	Modelos analíticos no supervisado
•	Reducción de dimensión.
o	Análisis de componentes principales.
o	Descomposición en valores singulares.
o	Análisis de componentes independientes.
•	Clustering con K-Means
•	Modelos de Gradient Boosting
•	Redes Neuronales
•	Modelos de Deep Learning</t>
  </si>
  <si>
    <t>Definir cuál es el objetivo y qué es lo que intentamos predecir, cuáles son las características, el problema al que nos enfrentamos
Adquirir  habilidades estadísticas y matemáticas para construir y trabajar con conjuntos de datos y modelos
Analizar cuando uno o mas cambios en algunos de los aspectos del sistema modelado, puede afectar a otros aspectos del sistema.
comprender el significado del análisis realizado y qué hacer al respecto, los conocidos como «insights».
Desarrollar propuestas de mejora basadas en métodos analíticos para una óptima decisión</t>
  </si>
  <si>
    <t>Manifiesta disposición y actitud positiva hacia el aprendizaje de la unidad de apredizaje
Reconoce en  las matemáticas un oportunidad de crecimiento intelectual y profesional
 Demuestra rigor en la elaboración de problemas de aplicación
Demuestra orden y pulcritud en la presentación de sus trabajos.</t>
  </si>
  <si>
    <t>Construye sus metas de aprendizaje para el desarrollo de la unidad.
Aplica y reflexiona sobre las estrategias que le permiten acceder, manejar y transformar sus conocimientos.
Reflexiona, verifica y autorregula su aprendizaje</t>
  </si>
  <si>
    <t xml:space="preserve">RESULTADO DE APRENDIZAJE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</si>
  <si>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</si>
  <si>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</si>
  <si>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</si>
  <si>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</si>
  <si>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</si>
  <si>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</si>
  <si>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</si>
  <si>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</si>
  <si>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</si>
  <si>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 xml:space="preserve">Nivel Bajo </t>
  </si>
  <si>
    <t>Identifica las relaciones existentes entre los datos para proponer hipótesis</t>
  </si>
  <si>
    <t>Identifica el objetivo, lo que se va a predecir y las características del problema al que nos enfrentamos. Posteriormente, agrupa los datos en conjuntos que comparten características comunes, basándote en datos históricos para aquellos elementos que presentan similitudes en sus características.</t>
  </si>
  <si>
    <t>Identifica parcialmente el objetivo, lo que se va a predecir y algunas características del problema al que nos enfrentamos. Posteriormente, agrupa los datos en conjuntos que comparten características comunes, basándote en datos históricos para aquellos elementos que presentan similitudes en sus características.</t>
  </si>
  <si>
    <t>No identifica el objetivo, lo que se va a predecir ni las características del problema al que nos enfrentamos. No agrupa los datos en conjuntos que comparten características comunes, además no utilizalos   datos históricos para aquellos elementos que presentan similitudes en sus características.</t>
  </si>
  <si>
    <t>Resolución de Ejercicios y Problemas.
Aprendizaje Basado en Problemas.</t>
  </si>
  <si>
    <t xml:space="preserve">Con la rúbrica como herramienta de evaluación de los aprendizajes adquiridos, se evidenciará:
A.) La aplicación precisa de procedimientos seleccionados
B.) La comprensión y aplicación de conceptos teóricos relevantes para la resolución del problema, incluyendo la precisión en el uso de fórmulas, teoremas o principios pertinentes.
C.) La correcta interpretación de los datos, las condiciones del problema y los resultados alcanzados.
</t>
  </si>
  <si>
    <t xml:space="preserve">Con la rúbrica como herramienta de evaluación del desempeño se evidenciará:
A.) La claridad en la presentación del razonamiento.
B.) La  metodología utilizada para llegar a la solución.
C.) la capacidad para identificar y manejar adecuadamente las etapas. del proceso de resolución.
D.) la eficiencia en el uso de recursos y tiempo. </t>
  </si>
  <si>
    <t xml:space="preserve">Utilizando la rúbrica como herramienta de evaluación, se valorara en el informe final,  la solución numérica o analítica correcta, la verificación de la solución para asegurar su validez, la presentación adecuada de los resultados con unidades correctas y cifras significativas, así como la interpretación de las implicaciones de la solución dentro del contexto del problema planteado
El informe final puede ser 
Productos Tangibles:
Informes, documentos técnicos, manuales o presentaciones que documentan el proceso y los resultados del problema.
Presentaciones o Demostraciones:
Exposiciones públicas, presentaciones orales o demostraciones ante compañeros
Portafolios:
Recopilación de trabajos,  análisis, investigaciones y reflexiones relacionadas con el problema.
Evaluaciones ecritas </t>
  </si>
  <si>
    <r>
      <rPr>
        <b/>
        <sz val="11"/>
        <color rgb="FF000000"/>
        <rFont val="Calibri"/>
        <scheme val="minor"/>
      </rPr>
      <t xml:space="preserve">Resolución de Ejercicios y Problemas.
</t>
    </r>
    <r>
      <rPr>
        <sz val="11"/>
        <color rgb="FF000000"/>
        <rFont val="Calibri"/>
        <scheme val="minor"/>
      </rPr>
      <t xml:space="preserve">1. Reconocimiento del problema. Comprensión.
2. Análisis, búsqueda y selección del procedimiento o plan de resolución.
3. Aplicación del procedimiento o plan seleccionado.
4. Comprobación e interpretación del resultado.
</t>
    </r>
    <r>
      <rPr>
        <b/>
        <sz val="11"/>
        <color rgb="FF000000"/>
        <rFont val="Calibri"/>
        <scheme val="minor"/>
      </rPr>
      <t xml:space="preserve">Aprendizaje Basado en Problemas. 
</t>
    </r>
    <r>
      <rPr>
        <sz val="11"/>
        <color rgb="FF000000"/>
        <rFont val="Calibri"/>
        <scheme val="minor"/>
      </rPr>
      <t>1. Leer y analizar el escenario o situación problema.
2. Identificar los objetivos de aprendizaje.
3. Identificar el conocimiento necesario previo y, reconocer saberes que requieren mayor profundización para lograr su solución.
4. Elaborar un esquema o representación que le permita comprender el problema.
5. Elaborar un diagnóstico que le permita una aproximación a la solución del problema.
6. Elaborar un plan de trabajo para abordar el problema.
7. Recopilar información sobre el problema.
8. Analizar la información recogida
9. Plantear los posibles resultados y evaluar su capacidad para abordar el problema
10. Desarrollar procesos de retroalimentación que lo lleven a verificar la solución del problema o nuevas hipótesis 
11. Reflexionar sobre el desempeño individual y grupal durante el desarrollo de la actividad.</t>
    </r>
  </si>
  <si>
    <t xml:space="preserve">Utiliza modelos analíticos  adecuados en un sistema real para propositos de predicción o control </t>
  </si>
  <si>
    <t xml:space="preserve">Utiliza algunos modelos analíticos  adecuados en un sistema real para propositos de predicción o control </t>
  </si>
  <si>
    <t xml:space="preserve">No utiliza ningun modelo  analítico en un sistema real para propositos de predicción o control </t>
  </si>
  <si>
    <t>Evalua el modelo aplicado e Interpreta los resultados del análisis realizado para el  desarrollo de  propuestas de mejora para una óptima decisión.</t>
  </si>
  <si>
    <t>Evalua el modelo aplicado e Interpreta algunos de los resultados del análisis realizado para el  desarrollo de  propuestas de mejora para una óptima decisión.</t>
  </si>
  <si>
    <t>No evalua el modelo aplicado ni interpreta los resultados del análisis realizado..</t>
  </si>
  <si>
    <t xml:space="preserve">RECURSOS DE APOYO </t>
  </si>
  <si>
    <t>Aula virtual
Software https://www.mathworks.com/products/matlab.html
Software GeoGebra License; Non-commercial freeware; portions under General Public License (GPL).
Microsoft 365, incluye Microsoft Office (Word, Excel, PowerPoint, Publisher, Access, Power BI, OneNote, Outlook, Project y Visio), Licencia Universitaria. 
Enginnering plus (gale).
Science infomation (gale).
Computer Science (gale).
E-Collection (ISO) (iCONTEC).
https://elibro-net.biblioteca.unicafam.edu.co/es/lc/unicafam/inicio</t>
  </si>
  <si>
    <t xml:space="preserve">BIBLIOGRAFÍA </t>
  </si>
  <si>
    <t>Statistical and Machine-Learning Data Mining, Third Edition_ Techniques for Better Predictive Modeling and Analysis of Big Data, Third Edition 
The Elements of Statistical Learning_ Data Mining, Inference, and Prediction, Second Edition (Springer Series in Statistics)
S: TuffèryData Mining and Statistics for Decision Making .Wiley.2011
 Practical Text Mining and Statistical Analysis for Non-structured Text Data Applications.Elsevirer2011.</t>
  </si>
  <si>
    <t>CONTROL DE CAMBIOS</t>
  </si>
  <si>
    <t>FECHA DE APROBACIÓN</t>
  </si>
  <si>
    <t>DESCRIPCIÓN DEL CAMBIO</t>
  </si>
  <si>
    <t>DD</t>
  </si>
  <si>
    <t>MM</t>
  </si>
  <si>
    <t>AAAA</t>
  </si>
  <si>
    <t>Creación del Documento</t>
  </si>
  <si>
    <t>CONTROL DE DOCUMENTOS</t>
  </si>
  <si>
    <t>ELABORO</t>
  </si>
  <si>
    <t>NOMBRES Y APELLIDOS</t>
  </si>
  <si>
    <t>CARGO</t>
  </si>
  <si>
    <t>FIRMA</t>
  </si>
  <si>
    <t>REVISO</t>
  </si>
  <si>
    <t>Miller Alexander Quiroga Campos</t>
  </si>
  <si>
    <t>Profesor de Ciencia de Datos y TAGD</t>
  </si>
  <si>
    <t>Miller A. Quiroga Campos</t>
  </si>
  <si>
    <t>APROBÓ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</si>
</sst>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b/>
      <sz val="11"/>
      <name val="Calibri"/>
      <family val="2"/>
      <scheme val="minor"/>
    </font>
    <font>
      <sz val="12"/>
      <color rgb="FF000000"/>
      <name val="Calibri"/>
      <family val="2"/>
      <scheme val="minor"/>
    </font>
    <font>
      <sz val="11"/>
      <color rgb="FF000000"/>
      <name val="Calibri"/>
      <family val="2"/>
    </font>
    <font>
      <sz val="11"/>
      <color rgb="FF000000"/>
      <name val="Verdana"/>
      <family val="2"/>
    </font>
    <font>
      <b/>
      <sz val="11"/>
      <color rgb="FFFFFFFF"/>
      <name val="Verdana"/>
      <family val="2"/>
    </font>
    <font>
      <b/>
      <sz val="11"/>
      <color rgb="FF000000"/>
      <name val="Verdana"/>
      <family val="2"/>
    </font>
    <font>
      <b/>
      <sz val="11"/>
      <color theme="0"/>
      <name val="Verdana"/>
      <family val="2"/>
    </font>
    <font>
      <sz val="11"/>
      <color theme="1"/>
      <name val="Verdana"/>
      <family val="2"/>
    </font>
    <font>
      <sz val="16"/>
      <color rgb="FF000000"/>
      <name val="Vladimir Script"/>
      <family val="4"/>
    </font>
    <font>
      <b/>
      <sz val="11"/>
      <color rgb="FF000000"/>
      <name val="Calibri"/>
      <scheme val="minor"/>
    </font>
    <font>
      <sz val="11"/>
      <color rgb="FF000000"/>
      <name val="Calibri"/>
      <scheme val="minor"/>
    </font>
  </fonts>
  <fills count="10">
    <fill>
      <patternFill patternType="none"/>
    </fill>
    <fill>
      <patternFill patternType="gray125"/>
    </fill>
    <fill>
      <patternFill patternType="solid">
        <fgColor theme="8" tint="0.59996337778862885"/>
        <bgColor indexed="64"/>
      </patternFill>
    </fill>
    <fill>
      <patternFill patternType="solid">
        <fgColor theme="0"/>
        <bgColor indexed="64"/>
      </patternFill>
    </fill>
    <fill>
      <patternFill patternType="solid">
        <fgColor theme="8" tint="-0.499984740745262"/>
        <bgColor rgb="FF000000"/>
      </patternFill>
    </fill>
    <fill>
      <patternFill patternType="solid">
        <fgColor theme="8" tint="-0.499984740745262"/>
        <bgColor indexed="64"/>
      </patternFill>
    </fill>
    <fill>
      <patternFill patternType="solid">
        <fgColor theme="0" tint="-0.249977111117893"/>
        <bgColor indexed="64"/>
      </patternFill>
    </fill>
    <fill>
      <patternFill patternType="solid">
        <fgColor rgb="FF1F4E78"/>
        <bgColor rgb="FF000000"/>
      </patternFill>
    </fill>
    <fill>
      <patternFill patternType="solid">
        <fgColor rgb="FF1F4E78"/>
        <bgColor indexed="64"/>
      </patternFill>
    </fill>
    <fill>
      <patternFill patternType="solid">
        <fgColor rgb="FFFFFFFF"/>
        <bgColor rgb="FF000000"/>
      </patternFill>
    </fill>
  </fills>
  <borders count="34">
    <border>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auto="1"/>
      </left>
      <right style="medium">
        <color indexed="64"/>
      </right>
      <top/>
      <bottom/>
      <diagonal/>
    </border>
    <border>
      <left style="medium">
        <color indexed="64"/>
      </left>
      <right style="thin">
        <color indexed="64"/>
      </right>
      <top style="medium">
        <color indexed="64"/>
      </top>
      <bottom/>
      <diagonal/>
    </border>
    <border>
      <left style="thin">
        <color auto="1"/>
      </left>
      <right style="thin">
        <color auto="1"/>
      </right>
      <top style="medium">
        <color indexed="64"/>
      </top>
      <bottom/>
      <diagonal/>
    </border>
    <border>
      <left style="thin">
        <color indexed="64"/>
      </left>
      <right style="medium">
        <color indexed="64"/>
      </right>
      <top style="medium">
        <color indexed="64"/>
      </top>
      <bottom/>
      <diagonal/>
    </border>
    <border>
      <left style="thin">
        <color auto="1"/>
      </left>
      <right/>
      <top style="medium">
        <color indexed="64"/>
      </top>
      <bottom/>
      <diagonal/>
    </border>
    <border>
      <left/>
      <right style="thin">
        <color auto="1"/>
      </right>
      <top style="medium">
        <color indexed="64"/>
      </top>
      <bottom/>
      <diagonal/>
    </border>
    <border>
      <left style="thin">
        <color auto="1"/>
      </left>
      <right/>
      <top/>
      <bottom style="medium">
        <color indexed="64"/>
      </bottom>
      <diagonal/>
    </border>
    <border>
      <left/>
      <right style="thin">
        <color auto="1"/>
      </right>
      <top/>
      <bottom style="medium">
        <color indexed="64"/>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indexed="64"/>
      </bottom>
      <diagonal/>
    </border>
    <border>
      <left/>
      <right/>
      <top style="thin">
        <color auto="1"/>
      </top>
      <bottom/>
      <diagonal/>
    </border>
    <border>
      <left/>
      <right style="thin">
        <color auto="1"/>
      </right>
      <top style="thin">
        <color auto="1"/>
      </top>
      <bottom/>
      <diagonal/>
    </border>
    <border>
      <left/>
      <right style="medium">
        <color indexed="64"/>
      </right>
      <top style="medium">
        <color indexed="64"/>
      </top>
      <bottom/>
      <diagonal/>
    </border>
    <border>
      <left style="thin">
        <color auto="1"/>
      </left>
      <right/>
      <top/>
      <bottom/>
      <diagonal/>
    </border>
    <border>
      <left/>
      <right style="thin">
        <color auto="1"/>
      </right>
      <top/>
      <bottom/>
      <diagonal/>
    </border>
    <border>
      <left style="thin">
        <color auto="1"/>
      </left>
      <right style="medium">
        <color indexed="64"/>
      </right>
      <top/>
      <bottom style="medium">
        <color indexed="64"/>
      </bottom>
      <diagonal/>
    </border>
  </borders>
  <cellStyleXfs count="2">
    <xf numFmtId="0" fontId="0" fillId="0" borderId="0"/>
    <xf numFmtId="0" fontId="1" fillId="0" borderId="0"/>
  </cellStyleXfs>
  <cellXfs count="109">
    <xf numFmtId="0" fontId="0" fillId="0" borderId="0" xfId="0"/>
    <xf numFmtId="0" fontId="1" fillId="0" borderId="0" xfId="1" applyAlignment="1">
      <alignment vertical="center"/>
    </xf>
    <xf numFmtId="0" fontId="6" fillId="2" borderId="1" xfId="1" applyFont="1" applyFill="1" applyBorder="1" applyAlignment="1">
      <alignment horizontal="left" vertical="center" wrapText="1"/>
    </xf>
    <xf numFmtId="0" fontId="8" fillId="2" borderId="2" xfId="1" applyFont="1" applyFill="1" applyBorder="1" applyAlignment="1">
      <alignment horizontal="center" vertical="center" wrapText="1"/>
    </xf>
    <xf numFmtId="0" fontId="7" fillId="0" borderId="2" xfId="1" applyFont="1" applyBorder="1" applyAlignment="1">
      <alignment horizontal="center" vertical="center" wrapText="1"/>
    </xf>
    <xf numFmtId="0" fontId="7" fillId="0" borderId="5" xfId="1" applyFont="1" applyBorder="1" applyAlignment="1" applyProtection="1">
      <alignment horizontal="center" vertical="center" wrapText="1"/>
      <protection locked="0"/>
    </xf>
    <xf numFmtId="0" fontId="6" fillId="2" borderId="6" xfId="1" applyFont="1" applyFill="1" applyBorder="1" applyAlignment="1">
      <alignment horizontal="left" vertical="center" wrapText="1"/>
    </xf>
    <xf numFmtId="0" fontId="8" fillId="2" borderId="10" xfId="1" applyFont="1" applyFill="1" applyBorder="1" applyAlignment="1">
      <alignment horizontal="center" vertical="center" wrapText="1"/>
    </xf>
    <xf numFmtId="0" fontId="7" fillId="0" borderId="11" xfId="1" applyFont="1" applyBorder="1" applyAlignment="1" applyProtection="1">
      <alignment horizontal="center" vertical="center" wrapText="1"/>
      <protection locked="0"/>
    </xf>
    <xf numFmtId="0" fontId="6" fillId="2" borderId="12" xfId="1" applyFont="1" applyFill="1" applyBorder="1" applyAlignment="1">
      <alignment horizontal="left" vertical="center" wrapText="1"/>
    </xf>
    <xf numFmtId="0" fontId="6" fillId="2" borderId="15" xfId="1" applyFont="1" applyFill="1" applyBorder="1" applyAlignment="1">
      <alignment horizontal="left" vertical="center" wrapText="1"/>
    </xf>
    <xf numFmtId="0" fontId="1" fillId="0" borderId="2" xfId="1" applyBorder="1" applyAlignment="1">
      <alignment horizontal="left" vertical="top" wrapText="1"/>
    </xf>
    <xf numFmtId="0" fontId="6" fillId="2" borderId="1" xfId="1" applyFont="1" applyFill="1" applyBorder="1" applyAlignment="1">
      <alignment horizontal="center" vertical="center" wrapText="1"/>
    </xf>
    <xf numFmtId="0" fontId="6" fillId="2" borderId="12" xfId="1" applyFont="1" applyFill="1" applyBorder="1" applyAlignment="1">
      <alignment horizontal="center" vertical="center" wrapText="1"/>
    </xf>
    <xf numFmtId="0" fontId="6" fillId="2" borderId="13" xfId="1" applyFont="1" applyFill="1" applyBorder="1" applyAlignment="1">
      <alignment horizontal="center" vertical="center" wrapText="1"/>
    </xf>
    <xf numFmtId="0" fontId="9" fillId="3" borderId="10" xfId="0" applyFont="1" applyFill="1" applyBorder="1" applyAlignment="1">
      <alignment horizontal="left" vertical="center" wrapText="1"/>
    </xf>
    <xf numFmtId="0" fontId="9" fillId="3" borderId="25" xfId="0" applyFont="1" applyFill="1" applyBorder="1" applyAlignment="1">
      <alignment horizontal="left" vertical="center" wrapText="1"/>
    </xf>
    <xf numFmtId="0" fontId="11" fillId="0" borderId="10" xfId="0" applyFont="1" applyBorder="1" applyAlignment="1">
      <alignment horizontal="center" vertical="center" wrapText="1"/>
    </xf>
    <xf numFmtId="0" fontId="12" fillId="4" borderId="10" xfId="0" applyFont="1" applyFill="1" applyBorder="1" applyAlignment="1">
      <alignment horizontal="center" vertical="center" wrapText="1"/>
    </xf>
    <xf numFmtId="0" fontId="14" fillId="5" borderId="10" xfId="0" applyFont="1" applyFill="1" applyBorder="1" applyAlignment="1" applyProtection="1">
      <alignment horizontal="center" vertical="center" wrapText="1"/>
      <protection hidden="1"/>
    </xf>
    <xf numFmtId="0" fontId="14" fillId="5" borderId="9" xfId="0" applyFont="1" applyFill="1" applyBorder="1" applyAlignment="1" applyProtection="1">
      <alignment horizontal="center" vertical="center" wrapText="1"/>
      <protection hidden="1"/>
    </xf>
    <xf numFmtId="0" fontId="14" fillId="5" borderId="28" xfId="0" applyFont="1" applyFill="1" applyBorder="1" applyAlignment="1" applyProtection="1">
      <alignment horizontal="center" vertical="center" wrapText="1"/>
      <protection hidden="1"/>
    </xf>
    <xf numFmtId="0" fontId="15" fillId="0" borderId="10" xfId="0" applyFont="1" applyBorder="1" applyAlignment="1" applyProtection="1">
      <alignment horizontal="center" vertical="center" wrapText="1"/>
      <protection hidden="1"/>
    </xf>
    <xf numFmtId="0" fontId="15" fillId="0" borderId="9" xfId="0" applyFont="1" applyBorder="1" applyAlignment="1" applyProtection="1">
      <alignment horizontal="center" vertical="center" wrapText="1"/>
      <protection hidden="1"/>
    </xf>
    <xf numFmtId="0" fontId="15" fillId="6" borderId="0" xfId="0" applyFont="1" applyFill="1" applyAlignment="1">
      <alignment horizontal="center" vertical="center"/>
    </xf>
    <xf numFmtId="0" fontId="0" fillId="6" borderId="0" xfId="0" applyFill="1"/>
    <xf numFmtId="0" fontId="5" fillId="0" borderId="0" xfId="1" applyFont="1" applyAlignment="1">
      <alignment horizontal="center" vertical="center" wrapText="1"/>
    </xf>
    <xf numFmtId="0" fontId="10" fillId="0" borderId="2" xfId="1" applyFont="1" applyBorder="1" applyAlignment="1">
      <alignment horizontal="left" vertical="center" wrapText="1"/>
    </xf>
    <xf numFmtId="0" fontId="7" fillId="0" borderId="2" xfId="1" applyFont="1" applyBorder="1" applyAlignment="1">
      <alignment horizontal="left" vertical="center" wrapText="1"/>
    </xf>
    <xf numFmtId="0" fontId="7" fillId="0" borderId="5" xfId="1" applyFont="1" applyBorder="1" applyAlignment="1">
      <alignment horizontal="left" vertical="center" wrapText="1"/>
    </xf>
    <xf numFmtId="0" fontId="10" fillId="0" borderId="13" xfId="1" applyFont="1" applyBorder="1" applyAlignment="1">
      <alignment horizontal="left" vertical="center" wrapText="1"/>
    </xf>
    <xf numFmtId="0" fontId="7" fillId="0" borderId="13" xfId="1" applyFont="1" applyBorder="1" applyAlignment="1">
      <alignment horizontal="left" vertical="center" wrapText="1"/>
    </xf>
    <xf numFmtId="0" fontId="7" fillId="0" borderId="14" xfId="1" applyFont="1" applyBorder="1" applyAlignment="1">
      <alignment horizontal="left" vertical="center" wrapText="1"/>
    </xf>
    <xf numFmtId="0" fontId="6" fillId="2" borderId="21" xfId="1" applyFont="1" applyFill="1" applyBorder="1" applyAlignment="1">
      <alignment horizontal="center" vertical="center" wrapText="1"/>
    </xf>
    <xf numFmtId="0" fontId="6" fillId="2" borderId="22" xfId="1" applyFont="1" applyFill="1" applyBorder="1" applyAlignment="1">
      <alignment horizontal="center" vertical="center" wrapText="1"/>
    </xf>
    <xf numFmtId="0" fontId="6" fillId="2" borderId="23" xfId="1" applyFont="1" applyFill="1" applyBorder="1" applyAlignment="1">
      <alignment horizontal="center" vertical="center" wrapText="1"/>
    </xf>
    <xf numFmtId="0" fontId="6" fillId="2" borderId="24" xfId="1" applyFont="1" applyFill="1" applyBorder="1" applyAlignment="1">
      <alignment horizontal="center" vertical="center" wrapText="1"/>
    </xf>
    <xf numFmtId="0" fontId="6" fillId="2" borderId="5" xfId="1" applyFont="1" applyFill="1" applyBorder="1" applyAlignment="1">
      <alignment horizontal="center" vertical="center" wrapText="1"/>
    </xf>
    <xf numFmtId="0" fontId="6" fillId="2" borderId="14" xfId="1" applyFont="1" applyFill="1" applyBorder="1" applyAlignment="1">
      <alignment horizontal="center" vertical="center" wrapText="1"/>
    </xf>
    <xf numFmtId="0" fontId="7" fillId="0" borderId="17" xfId="0" applyFont="1" applyBorder="1" applyAlignment="1">
      <alignment horizontal="left" vertical="top" wrapText="1"/>
    </xf>
    <xf numFmtId="0" fontId="7" fillId="0" borderId="33" xfId="0" applyFont="1" applyBorder="1" applyAlignment="1">
      <alignment horizontal="left" vertical="top" wrapText="1"/>
    </xf>
    <xf numFmtId="0" fontId="1" fillId="0" borderId="1" xfId="1" applyBorder="1" applyAlignment="1">
      <alignment horizontal="left" vertical="center" wrapText="1"/>
    </xf>
    <xf numFmtId="0" fontId="1" fillId="0" borderId="6" xfId="1" applyBorder="1" applyAlignment="1">
      <alignment horizontal="left" vertical="center" wrapText="1"/>
    </xf>
    <xf numFmtId="0" fontId="8" fillId="0" borderId="21" xfId="0" applyFont="1" applyBorder="1" applyAlignment="1">
      <alignment horizontal="left" vertical="center" wrapText="1"/>
    </xf>
    <xf numFmtId="0" fontId="7" fillId="0" borderId="22" xfId="0" applyFont="1" applyBorder="1" applyAlignment="1">
      <alignment horizontal="left" vertical="center" wrapText="1"/>
    </xf>
    <xf numFmtId="0" fontId="7" fillId="0" borderId="31" xfId="0" applyFont="1" applyBorder="1" applyAlignment="1">
      <alignment horizontal="left" vertical="center" wrapText="1"/>
    </xf>
    <xf numFmtId="0" fontId="7" fillId="0" borderId="32" xfId="0" applyFont="1" applyBorder="1" applyAlignment="1">
      <alignment horizontal="left" vertical="center" wrapText="1"/>
    </xf>
    <xf numFmtId="0" fontId="7" fillId="0" borderId="23" xfId="0" applyFont="1" applyBorder="1" applyAlignment="1">
      <alignment horizontal="left" vertical="center" wrapText="1"/>
    </xf>
    <xf numFmtId="0" fontId="7" fillId="0" borderId="24" xfId="0" applyFont="1" applyBorder="1" applyAlignment="1">
      <alignment horizontal="left" vertical="center" wrapText="1"/>
    </xf>
    <xf numFmtId="0" fontId="7" fillId="0" borderId="21" xfId="0" applyFont="1" applyBorder="1" applyAlignment="1">
      <alignment horizontal="left" vertical="top" wrapText="1"/>
    </xf>
    <xf numFmtId="0" fontId="7" fillId="0" borderId="22" xfId="0" applyFont="1" applyBorder="1" applyAlignment="1">
      <alignment horizontal="left" vertical="top" wrapText="1"/>
    </xf>
    <xf numFmtId="0" fontId="7" fillId="0" borderId="31" xfId="0" applyFont="1" applyBorder="1" applyAlignment="1">
      <alignment horizontal="left" vertical="top" wrapText="1"/>
    </xf>
    <xf numFmtId="0" fontId="7" fillId="0" borderId="32" xfId="0" applyFont="1" applyBorder="1" applyAlignment="1">
      <alignment horizontal="left" vertical="top" wrapText="1"/>
    </xf>
    <xf numFmtId="0" fontId="7" fillId="0" borderId="23" xfId="0" applyFont="1" applyBorder="1" applyAlignment="1">
      <alignment horizontal="left" vertical="top" wrapText="1"/>
    </xf>
    <xf numFmtId="0" fontId="7" fillId="0" borderId="24" xfId="0" applyFont="1" applyBorder="1" applyAlignment="1">
      <alignment horizontal="left" vertical="top" wrapText="1"/>
    </xf>
    <xf numFmtId="0" fontId="1" fillId="0" borderId="2" xfId="1" applyBorder="1" applyAlignment="1">
      <alignment horizontal="left" vertical="center" wrapText="1"/>
    </xf>
    <xf numFmtId="0" fontId="1" fillId="0" borderId="10" xfId="1" applyBorder="1" applyAlignment="1">
      <alignment horizontal="left" vertical="center" wrapText="1"/>
    </xf>
    <xf numFmtId="0" fontId="1" fillId="0" borderId="12" xfId="1" applyBorder="1" applyAlignment="1">
      <alignment horizontal="left" vertical="center" wrapText="1"/>
    </xf>
    <xf numFmtId="0" fontId="1" fillId="0" borderId="13" xfId="1" applyBorder="1" applyAlignment="1">
      <alignment horizontal="left" vertical="center" wrapText="1"/>
    </xf>
    <xf numFmtId="0" fontId="1" fillId="0" borderId="2" xfId="1" applyBorder="1" applyAlignment="1">
      <alignment horizontal="left" vertical="top" wrapText="1"/>
    </xf>
    <xf numFmtId="0" fontId="1" fillId="0" borderId="10" xfId="1" applyBorder="1" applyAlignment="1">
      <alignment horizontal="left" vertical="top" wrapText="1"/>
    </xf>
    <xf numFmtId="0" fontId="1" fillId="0" borderId="13" xfId="1" applyBorder="1" applyAlignment="1">
      <alignment horizontal="left" vertical="top" wrapText="1"/>
    </xf>
    <xf numFmtId="0" fontId="1" fillId="0" borderId="5" xfId="1" applyBorder="1" applyAlignment="1">
      <alignment horizontal="left" vertical="top" wrapText="1"/>
    </xf>
    <xf numFmtId="0" fontId="1" fillId="0" borderId="11" xfId="1" applyBorder="1" applyAlignment="1">
      <alignment horizontal="left" vertical="top" wrapText="1"/>
    </xf>
    <xf numFmtId="0" fontId="1" fillId="0" borderId="14" xfId="1" applyBorder="1" applyAlignment="1">
      <alignment horizontal="left" vertical="top" wrapText="1"/>
    </xf>
    <xf numFmtId="0" fontId="6" fillId="2" borderId="1" xfId="1" applyFont="1" applyFill="1" applyBorder="1" applyAlignment="1">
      <alignment horizontal="center" vertical="center" wrapText="1"/>
    </xf>
    <xf numFmtId="0" fontId="6" fillId="2" borderId="12" xfId="1" applyFont="1" applyFill="1" applyBorder="1" applyAlignment="1">
      <alignment horizontal="center" vertical="center" wrapText="1"/>
    </xf>
    <xf numFmtId="0" fontId="6" fillId="2" borderId="2" xfId="1" applyFont="1" applyFill="1" applyBorder="1" applyAlignment="1">
      <alignment horizontal="center" vertical="center" wrapText="1"/>
    </xf>
    <xf numFmtId="0" fontId="6" fillId="2" borderId="13" xfId="1" applyFont="1" applyFill="1" applyBorder="1" applyAlignment="1">
      <alignment horizontal="center" vertical="center" wrapText="1"/>
    </xf>
    <xf numFmtId="0" fontId="2" fillId="2" borderId="21" xfId="1" applyFont="1" applyFill="1" applyBorder="1" applyAlignment="1">
      <alignment horizontal="center" vertical="center" wrapText="1"/>
    </xf>
    <xf numFmtId="0" fontId="2" fillId="2" borderId="22" xfId="1" applyFont="1" applyFill="1" applyBorder="1" applyAlignment="1">
      <alignment horizontal="center" vertical="center" wrapText="1"/>
    </xf>
    <xf numFmtId="0" fontId="2" fillId="2" borderId="23" xfId="1" applyFont="1" applyFill="1" applyBorder="1" applyAlignment="1">
      <alignment horizontal="center" vertical="center" wrapText="1"/>
    </xf>
    <xf numFmtId="0" fontId="2" fillId="2" borderId="24" xfId="1" applyFont="1" applyFill="1" applyBorder="1" applyAlignment="1">
      <alignment horizontal="center" vertical="center" wrapText="1"/>
    </xf>
    <xf numFmtId="0" fontId="7" fillId="0" borderId="13" xfId="1" applyFont="1" applyBorder="1" applyAlignment="1">
      <alignment horizontal="center" vertical="center" wrapText="1"/>
    </xf>
    <xf numFmtId="0" fontId="7" fillId="0" borderId="14" xfId="1" applyFont="1" applyBorder="1" applyAlignment="1">
      <alignment horizontal="center" vertical="center" wrapText="1"/>
    </xf>
    <xf numFmtId="0" fontId="7" fillId="0" borderId="16" xfId="1" applyFont="1" applyBorder="1" applyAlignment="1">
      <alignment horizontal="left" vertical="center" wrapText="1"/>
    </xf>
    <xf numFmtId="0" fontId="7" fillId="0" borderId="17" xfId="1" applyFont="1" applyBorder="1" applyAlignment="1">
      <alignment horizontal="left" vertical="center" wrapText="1"/>
    </xf>
    <xf numFmtId="0" fontId="6" fillId="2" borderId="18" xfId="1" applyFont="1" applyFill="1" applyBorder="1" applyAlignment="1">
      <alignment horizontal="center" vertical="center" wrapText="1"/>
    </xf>
    <xf numFmtId="0" fontId="6" fillId="2" borderId="19" xfId="1" applyFont="1" applyFill="1" applyBorder="1" applyAlignment="1">
      <alignment horizontal="center" vertical="center" wrapText="1"/>
    </xf>
    <xf numFmtId="0" fontId="6" fillId="2" borderId="20" xfId="1" applyFont="1" applyFill="1" applyBorder="1" applyAlignment="1">
      <alignment horizontal="center" vertical="center" wrapText="1"/>
    </xf>
    <xf numFmtId="0" fontId="7" fillId="0" borderId="7" xfId="1" applyFont="1" applyBorder="1" applyAlignment="1">
      <alignment horizontal="center" vertical="center" wrapText="1"/>
    </xf>
    <xf numFmtId="0" fontId="7" fillId="0" borderId="8" xfId="1" applyFont="1" applyBorder="1" applyAlignment="1">
      <alignment horizontal="center" vertical="center" wrapText="1"/>
    </xf>
    <xf numFmtId="0" fontId="7" fillId="0" borderId="9" xfId="1" applyFont="1" applyBorder="1" applyAlignment="1">
      <alignment horizontal="center" vertical="center" wrapText="1"/>
    </xf>
    <xf numFmtId="0" fontId="7" fillId="0" borderId="10" xfId="1" applyFont="1" applyBorder="1" applyAlignment="1" applyProtection="1">
      <alignment horizontal="center" vertical="center"/>
      <protection locked="0"/>
    </xf>
    <xf numFmtId="0" fontId="11" fillId="0" borderId="10" xfId="0" applyFont="1" applyBorder="1" applyAlignment="1">
      <alignment horizontal="center" vertical="center" wrapText="1"/>
    </xf>
    <xf numFmtId="0" fontId="12" fillId="4" borderId="10" xfId="0" applyFont="1" applyFill="1" applyBorder="1" applyAlignment="1">
      <alignment horizontal="center" vertical="center" wrapText="1"/>
    </xf>
    <xf numFmtId="0" fontId="13" fillId="0" borderId="10" xfId="0" applyFont="1" applyBorder="1" applyAlignment="1">
      <alignment horizontal="center" vertical="center" wrapText="1"/>
    </xf>
    <xf numFmtId="0" fontId="0" fillId="3" borderId="10" xfId="0" applyFill="1" applyBorder="1" applyAlignment="1">
      <alignment horizont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7" fillId="0" borderId="3" xfId="1" applyFont="1" applyBorder="1" applyAlignment="1">
      <alignment horizontal="center" vertical="center" wrapText="1"/>
    </xf>
    <xf numFmtId="0" fontId="7" fillId="0" borderId="4" xfId="1" applyFont="1" applyBorder="1" applyAlignment="1">
      <alignment horizontal="center" vertical="center" wrapText="1"/>
    </xf>
    <xf numFmtId="0" fontId="14" fillId="5" borderId="26" xfId="0" applyFont="1" applyFill="1" applyBorder="1" applyAlignment="1" applyProtection="1">
      <alignment horizontal="center" vertical="center" wrapText="1"/>
      <protection hidden="1"/>
    </xf>
    <xf numFmtId="0" fontId="14" fillId="5" borderId="27" xfId="0" applyFont="1" applyFill="1" applyBorder="1" applyAlignment="1" applyProtection="1">
      <alignment horizontal="center" vertical="center" wrapText="1"/>
      <protection hidden="1"/>
    </xf>
    <xf numFmtId="0" fontId="14" fillId="5" borderId="10" xfId="0" applyFont="1" applyFill="1" applyBorder="1" applyAlignment="1" applyProtection="1">
      <alignment horizontal="center" vertical="center" wrapText="1"/>
      <protection hidden="1"/>
    </xf>
    <xf numFmtId="0" fontId="14" fillId="5" borderId="8" xfId="0" applyFont="1" applyFill="1" applyBorder="1" applyAlignment="1" applyProtection="1">
      <alignment horizontal="center" vertical="center" wrapText="1"/>
      <protection hidden="1"/>
    </xf>
    <xf numFmtId="0" fontId="14" fillId="5" borderId="9" xfId="0" applyFont="1" applyFill="1" applyBorder="1" applyAlignment="1" applyProtection="1">
      <alignment horizontal="center" vertical="center" wrapText="1"/>
      <protection hidden="1"/>
    </xf>
    <xf numFmtId="0" fontId="14" fillId="5" borderId="28" xfId="0" applyFont="1" applyFill="1" applyBorder="1" applyAlignment="1" applyProtection="1">
      <alignment horizontal="center" vertical="center" wrapText="1"/>
      <protection hidden="1"/>
    </xf>
    <xf numFmtId="0" fontId="14" fillId="5" borderId="29" xfId="0" applyFont="1" applyFill="1" applyBorder="1" applyAlignment="1" applyProtection="1">
      <alignment horizontal="center" vertical="center" wrapText="1"/>
      <protection hidden="1"/>
    </xf>
    <xf numFmtId="0" fontId="14" fillId="8" borderId="10" xfId="0" applyFont="1" applyFill="1" applyBorder="1" applyAlignment="1" applyProtection="1">
      <alignment horizontal="center" vertical="center" wrapText="1"/>
      <protection hidden="1"/>
    </xf>
    <xf numFmtId="0" fontId="15" fillId="0" borderId="10" xfId="0" applyFont="1" applyBorder="1" applyAlignment="1" applyProtection="1">
      <alignment horizontal="center" vertical="center" wrapText="1"/>
      <protection hidden="1"/>
    </xf>
    <xf numFmtId="0" fontId="12" fillId="7" borderId="10" xfId="0" applyFont="1" applyFill="1" applyBorder="1" applyAlignment="1">
      <alignment horizontal="center" vertical="center" wrapText="1"/>
    </xf>
    <xf numFmtId="0" fontId="15" fillId="3" borderId="10" xfId="0" applyFont="1" applyFill="1" applyBorder="1" applyAlignment="1" applyProtection="1">
      <alignment horizontal="center" vertical="center" wrapText="1"/>
      <protection hidden="1"/>
    </xf>
    <xf numFmtId="0" fontId="11" fillId="9" borderId="7" xfId="0" applyFont="1" applyFill="1" applyBorder="1" applyAlignment="1">
      <alignment horizontal="center" vertical="center" wrapText="1"/>
    </xf>
    <xf numFmtId="0" fontId="11" fillId="9" borderId="8" xfId="0" applyFont="1" applyFill="1" applyBorder="1" applyAlignment="1">
      <alignment horizontal="center" vertical="center" wrapText="1"/>
    </xf>
    <xf numFmtId="0" fontId="16" fillId="9" borderId="7" xfId="0" applyFont="1" applyFill="1" applyBorder="1" applyAlignment="1">
      <alignment horizontal="center" vertical="center" wrapText="1"/>
    </xf>
    <xf numFmtId="0" fontId="16" fillId="9" borderId="8" xfId="0" applyFont="1" applyFill="1" applyBorder="1" applyAlignment="1">
      <alignment horizontal="center" vertical="center" wrapText="1"/>
    </xf>
    <xf numFmtId="0" fontId="16" fillId="9" borderId="9" xfId="0" applyFont="1" applyFill="1" applyBorder="1" applyAlignment="1">
      <alignment horizontal="center" vertical="center" wrapText="1"/>
    </xf>
    <xf numFmtId="0" fontId="18" fillId="0" borderId="30" xfId="0" applyFont="1" applyBorder="1" applyAlignment="1">
      <alignment wrapText="1"/>
    </xf>
  </cellXfs>
  <cellStyles count="2">
    <cellStyle name="Normal" xfId="0" builtinId="0"/>
    <cellStyle name="Normal 2 4" xfId="1" xr:uid="{254D9365-D0D9-4409-A282-791CA73710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microsoft.com/office/2022/10/relationships/richValueRel" Target="richData/richValueRel.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externalLink" Target="externalLinks/externalLink1.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 Id="rId14" Type="http://schemas.microsoft.com/office/2017/06/relationships/rdRichValue" Target="richData/rdrichvalue.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personal/stefany_murillo_unicafam_edu_co/Documents/Renovaci&#243;n%20de%20RC%20de%20programas%20de%20ingenier&#237;a/Renovaci&#243;n%20registros/Ingenier&#237;a%20de%20Telecomunicaciones/UNIDADES%20DE%20APRENDIZAJE/PROGRAMACI&#211;N/Formato%20UA%20Programa%20de%20Ingenieri&#769;a%20de%20Telecomunicaciones.xlsx?C23EED28" TargetMode="External"/><Relationship Id="rId1" Type="http://schemas.openxmlformats.org/officeDocument/2006/relationships/externalLinkPath" Target="file:///\\C23EED28\Formato%20UA%20Programa%20de%20Ingenieri&#769;a%20de%20Telecomunicacione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rsonal/jose_salas_unicafam_edu_co/Documents/Santiago%20Nuevo%20210622/1%20Primer%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Introducción a la ingeniería"/>
      <sheetName val="41 Representación_gráfica "/>
      <sheetName val="Representación grafica "/>
      <sheetName val="Seguridad industrial"/>
      <sheetName val="1. Seguridad industrial"/>
      <sheetName val="Contabilidad administrativa"/>
    </sheetNames>
    <sheetDataSet>
      <sheetData sheetId="0"/>
      <sheetData sheetId="1"/>
      <sheetData sheetId="2"/>
      <sheetData sheetId="3"/>
      <sheetData sheetId="4"/>
      <sheetData sheetId="5"/>
      <sheetData sheetId="6"/>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3F4E8-7FB6-4920-8C0D-FCC17FF27A36}">
  <sheetPr codeName="Hoja20">
    <tabColor rgb="FF00B0F0"/>
  </sheetPr>
  <dimension ref="B1:P39"/>
  <sheetViews>
    <sheetView tabSelected="1" topLeftCell="B21" zoomScaleNormal="100" workbookViewId="0">
      <selection activeCell="Q20" sqref="Q20"/>
    </sheetView>
  </sheetViews>
  <sheetFormatPr defaultColWidth="12.85546875" defaultRowHeight="15"/>
  <cols>
    <col min="1" max="1" width="5.7109375" style="1" customWidth="1"/>
    <col min="2" max="6" width="24.7109375" style="1" customWidth="1"/>
    <col min="7" max="14" width="12.7109375" style="1" customWidth="1"/>
    <col min="15" max="15" width="24.7109375" style="1" customWidth="1"/>
    <col min="16" max="16" width="6.42578125" style="1" customWidth="1"/>
    <col min="17" max="16384" width="12.85546875" style="1"/>
  </cols>
  <sheetData>
    <row r="1" spans="2:15" ht="15" customHeight="1"/>
    <row r="2" spans="2:15" ht="25.5" customHeight="1">
      <c r="B2" s="84" t="e" vm="1">
        <v>#VALUE!</v>
      </c>
      <c r="C2" s="85" t="s">
        <v>0</v>
      </c>
      <c r="D2" s="85"/>
      <c r="E2" s="85"/>
      <c r="F2" s="85"/>
      <c r="G2" s="85"/>
      <c r="H2" s="85"/>
      <c r="I2" s="85"/>
      <c r="J2" s="85"/>
      <c r="K2" s="85"/>
      <c r="L2" s="85"/>
      <c r="M2" s="85"/>
      <c r="N2" s="85"/>
      <c r="O2" s="85"/>
    </row>
    <row r="3" spans="2:15" ht="24" customHeight="1">
      <c r="B3" s="84"/>
      <c r="C3" s="86" t="s">
        <v>1</v>
      </c>
      <c r="D3" s="86"/>
      <c r="E3" s="86"/>
      <c r="F3" s="86"/>
      <c r="G3" s="86"/>
      <c r="H3" s="86"/>
      <c r="I3" s="86"/>
      <c r="J3" s="86"/>
      <c r="K3" s="86"/>
      <c r="L3" s="86"/>
      <c r="M3" s="86"/>
      <c r="N3" s="86"/>
      <c r="O3" s="86"/>
    </row>
    <row r="4" spans="2:15" ht="24" customHeight="1">
      <c r="B4" s="84"/>
      <c r="C4" s="86"/>
      <c r="D4" s="86"/>
      <c r="E4" s="86"/>
      <c r="F4" s="86"/>
      <c r="G4" s="86"/>
      <c r="H4" s="86"/>
      <c r="I4" s="86"/>
      <c r="J4" s="86"/>
      <c r="K4" s="86"/>
      <c r="L4" s="86"/>
      <c r="M4" s="86"/>
      <c r="N4" s="86"/>
      <c r="O4" s="86"/>
    </row>
    <row r="5" spans="2:15" ht="20.100000000000001" customHeight="1">
      <c r="B5" s="18" t="s">
        <v>2</v>
      </c>
      <c r="C5" s="17" t="s">
        <v>3</v>
      </c>
      <c r="D5" s="85" t="s">
        <v>4</v>
      </c>
      <c r="E5" s="85"/>
      <c r="F5" s="85"/>
      <c r="G5" s="17">
        <v>1</v>
      </c>
      <c r="H5" s="85" t="s">
        <v>5</v>
      </c>
      <c r="I5" s="85"/>
      <c r="J5" s="85"/>
      <c r="K5" s="87"/>
      <c r="L5" s="87"/>
      <c r="M5" s="85" t="s">
        <v>6</v>
      </c>
      <c r="N5" s="85"/>
      <c r="O5" s="17" t="s">
        <v>7</v>
      </c>
    </row>
    <row r="6" spans="2:15" ht="20.100000000000001" customHeight="1">
      <c r="B6" s="88"/>
      <c r="C6" s="88"/>
      <c r="D6" s="88"/>
      <c r="E6" s="88"/>
      <c r="F6" s="88"/>
      <c r="G6" s="88"/>
      <c r="H6" s="88"/>
      <c r="I6" s="88"/>
      <c r="J6" s="88"/>
      <c r="K6" s="88"/>
      <c r="L6" s="88"/>
      <c r="M6" s="88"/>
      <c r="N6" s="88"/>
      <c r="O6" s="88"/>
    </row>
    <row r="7" spans="2:15" ht="20.100000000000001" customHeight="1" thickBot="1">
      <c r="B7" s="89" t="s">
        <v>8</v>
      </c>
      <c r="C7" s="89"/>
      <c r="D7" s="89"/>
      <c r="E7" s="89"/>
      <c r="F7" s="89"/>
      <c r="G7" s="89"/>
      <c r="H7" s="89"/>
      <c r="I7" s="89"/>
      <c r="J7" s="89"/>
      <c r="K7" s="89"/>
      <c r="L7" s="89"/>
      <c r="M7" s="89"/>
      <c r="N7" s="89"/>
      <c r="O7" s="89"/>
    </row>
    <row r="8" spans="2:15" ht="30">
      <c r="B8" s="2" t="s">
        <v>9</v>
      </c>
      <c r="C8" s="28" t="s">
        <v>10</v>
      </c>
      <c r="D8" s="28"/>
      <c r="E8" s="28"/>
      <c r="F8" s="28"/>
      <c r="G8" s="3" t="s">
        <v>11</v>
      </c>
      <c r="H8" s="90">
        <v>3</v>
      </c>
      <c r="I8" s="91"/>
      <c r="J8" s="3" t="s">
        <v>12</v>
      </c>
      <c r="K8" s="4">
        <f>H8*16</f>
        <v>48</v>
      </c>
      <c r="L8" s="3" t="s">
        <v>13</v>
      </c>
      <c r="M8" s="4">
        <f>K8*2</f>
        <v>96</v>
      </c>
      <c r="N8" s="3" t="s">
        <v>14</v>
      </c>
      <c r="O8" s="5" t="s">
        <v>15</v>
      </c>
    </row>
    <row r="9" spans="2:15" ht="15" customHeight="1">
      <c r="B9" s="6" t="s">
        <v>16</v>
      </c>
      <c r="C9" s="80" t="s">
        <v>17</v>
      </c>
      <c r="D9" s="81"/>
      <c r="E9" s="81"/>
      <c r="F9" s="81"/>
      <c r="G9" s="81"/>
      <c r="H9" s="81"/>
      <c r="I9" s="82"/>
      <c r="J9" s="7" t="s">
        <v>18</v>
      </c>
      <c r="K9" s="83" t="s">
        <v>19</v>
      </c>
      <c r="L9" s="83"/>
      <c r="M9" s="83"/>
      <c r="N9" s="7" t="s">
        <v>20</v>
      </c>
      <c r="O9" s="8">
        <v>14029230401</v>
      </c>
    </row>
    <row r="10" spans="2:15" ht="15.75" thickBot="1">
      <c r="B10" s="9" t="s">
        <v>21</v>
      </c>
      <c r="C10" s="73" t="s">
        <v>22</v>
      </c>
      <c r="D10" s="73"/>
      <c r="E10" s="73"/>
      <c r="F10" s="73"/>
      <c r="G10" s="73"/>
      <c r="H10" s="73"/>
      <c r="I10" s="73"/>
      <c r="J10" s="73"/>
      <c r="K10" s="73"/>
      <c r="L10" s="73"/>
      <c r="M10" s="73"/>
      <c r="N10" s="73"/>
      <c r="O10" s="74"/>
    </row>
    <row r="11" spans="2:15" ht="54" customHeight="1" thickBot="1">
      <c r="B11" s="10" t="s">
        <v>23</v>
      </c>
      <c r="C11" s="75" t="s">
        <v>24</v>
      </c>
      <c r="D11" s="75"/>
      <c r="E11" s="75"/>
      <c r="F11" s="75"/>
      <c r="G11" s="75"/>
      <c r="H11" s="75"/>
      <c r="I11" s="75"/>
      <c r="J11" s="75"/>
      <c r="K11" s="75"/>
      <c r="L11" s="75"/>
      <c r="M11" s="75"/>
      <c r="N11" s="75"/>
      <c r="O11" s="76"/>
    </row>
    <row r="12" spans="2:15" ht="36" customHeight="1" thickBot="1">
      <c r="B12" s="77" t="s">
        <v>25</v>
      </c>
      <c r="C12" s="78"/>
      <c r="D12" s="78" t="s">
        <v>26</v>
      </c>
      <c r="E12" s="78"/>
      <c r="F12" s="78"/>
      <c r="G12" s="78"/>
      <c r="H12" s="78" t="s">
        <v>27</v>
      </c>
      <c r="I12" s="78"/>
      <c r="J12" s="78"/>
      <c r="K12" s="78" t="s">
        <v>28</v>
      </c>
      <c r="L12" s="78"/>
      <c r="M12" s="78"/>
      <c r="N12" s="78" t="s">
        <v>29</v>
      </c>
      <c r="O12" s="79"/>
    </row>
    <row r="13" spans="2:15" ht="90" customHeight="1">
      <c r="B13" s="41" t="s">
        <v>30</v>
      </c>
      <c r="C13" s="55"/>
      <c r="D13" s="59" t="s">
        <v>31</v>
      </c>
      <c r="E13" s="59"/>
      <c r="F13" s="59"/>
      <c r="G13" s="59"/>
      <c r="H13" s="59" t="s">
        <v>32</v>
      </c>
      <c r="I13" s="59"/>
      <c r="J13" s="59"/>
      <c r="K13" s="59" t="s">
        <v>33</v>
      </c>
      <c r="L13" s="59"/>
      <c r="M13" s="59"/>
      <c r="N13" s="59" t="s">
        <v>34</v>
      </c>
      <c r="O13" s="62"/>
    </row>
    <row r="14" spans="2:15" ht="90" customHeight="1">
      <c r="B14" s="42"/>
      <c r="C14" s="56"/>
      <c r="D14" s="60"/>
      <c r="E14" s="60"/>
      <c r="F14" s="60"/>
      <c r="G14" s="60"/>
      <c r="H14" s="60"/>
      <c r="I14" s="60"/>
      <c r="J14" s="60"/>
      <c r="K14" s="60"/>
      <c r="L14" s="60"/>
      <c r="M14" s="60"/>
      <c r="N14" s="60"/>
      <c r="O14" s="63"/>
    </row>
    <row r="15" spans="2:15" ht="90" customHeight="1">
      <c r="B15" s="42"/>
      <c r="C15" s="56"/>
      <c r="D15" s="60"/>
      <c r="E15" s="60"/>
      <c r="F15" s="60"/>
      <c r="G15" s="60"/>
      <c r="H15" s="60"/>
      <c r="I15" s="60"/>
      <c r="J15" s="60"/>
      <c r="K15" s="60"/>
      <c r="L15" s="60"/>
      <c r="M15" s="60"/>
      <c r="N15" s="60"/>
      <c r="O15" s="63"/>
    </row>
    <row r="16" spans="2:15" ht="66" customHeight="1" thickBot="1">
      <c r="B16" s="57"/>
      <c r="C16" s="58"/>
      <c r="D16" s="61"/>
      <c r="E16" s="61"/>
      <c r="F16" s="61"/>
      <c r="G16" s="61"/>
      <c r="H16" s="61"/>
      <c r="I16" s="61"/>
      <c r="J16" s="61"/>
      <c r="K16" s="61"/>
      <c r="L16" s="61"/>
      <c r="M16" s="61"/>
      <c r="N16" s="61"/>
      <c r="O16" s="64"/>
    </row>
    <row r="17" spans="2:16" ht="44.1" customHeight="1">
      <c r="B17" s="65" t="s">
        <v>35</v>
      </c>
      <c r="C17" s="67" t="s">
        <v>36</v>
      </c>
      <c r="D17" s="67" t="s">
        <v>37</v>
      </c>
      <c r="E17" s="67"/>
      <c r="F17" s="67"/>
      <c r="G17" s="69" t="s">
        <v>38</v>
      </c>
      <c r="H17" s="70"/>
      <c r="I17" s="33" t="s">
        <v>39</v>
      </c>
      <c r="J17" s="34"/>
      <c r="K17" s="33" t="s">
        <v>40</v>
      </c>
      <c r="L17" s="34"/>
      <c r="M17" s="33" t="s">
        <v>41</v>
      </c>
      <c r="N17" s="34"/>
      <c r="O17" s="37" t="s">
        <v>42</v>
      </c>
    </row>
    <row r="18" spans="2:16" ht="15.75" thickBot="1">
      <c r="B18" s="66"/>
      <c r="C18" s="68"/>
      <c r="D18" s="14" t="s">
        <v>43</v>
      </c>
      <c r="E18" s="14" t="s">
        <v>44</v>
      </c>
      <c r="F18" s="14" t="s">
        <v>45</v>
      </c>
      <c r="G18" s="71"/>
      <c r="H18" s="72"/>
      <c r="I18" s="35"/>
      <c r="J18" s="36"/>
      <c r="K18" s="35"/>
      <c r="L18" s="36"/>
      <c r="M18" s="35"/>
      <c r="N18" s="36"/>
      <c r="O18" s="38"/>
    </row>
    <row r="19" spans="2:16" ht="225" customHeight="1">
      <c r="B19" s="41" t="s">
        <v>46</v>
      </c>
      <c r="C19" s="11" t="s">
        <v>47</v>
      </c>
      <c r="D19" s="11" t="s">
        <v>47</v>
      </c>
      <c r="E19" s="11" t="s">
        <v>48</v>
      </c>
      <c r="F19" s="11" t="s">
        <v>49</v>
      </c>
      <c r="G19" s="43" t="s">
        <v>50</v>
      </c>
      <c r="H19" s="44"/>
      <c r="I19" s="49" t="s">
        <v>51</v>
      </c>
      <c r="J19" s="50"/>
      <c r="K19" s="49" t="s">
        <v>52</v>
      </c>
      <c r="L19" s="50"/>
      <c r="M19" s="49" t="s">
        <v>53</v>
      </c>
      <c r="N19" s="50"/>
      <c r="O19" s="108" t="s">
        <v>54</v>
      </c>
      <c r="P19" s="26"/>
    </row>
    <row r="20" spans="2:16" ht="78.75">
      <c r="B20" s="42"/>
      <c r="C20" s="15" t="s">
        <v>55</v>
      </c>
      <c r="D20" s="15" t="s">
        <v>55</v>
      </c>
      <c r="E20" s="15" t="s">
        <v>56</v>
      </c>
      <c r="F20" s="15" t="s">
        <v>57</v>
      </c>
      <c r="G20" s="45"/>
      <c r="H20" s="46"/>
      <c r="I20" s="51"/>
      <c r="J20" s="52"/>
      <c r="K20" s="51"/>
      <c r="L20" s="52"/>
      <c r="M20" s="51"/>
      <c r="N20" s="52"/>
      <c r="O20" s="39"/>
      <c r="P20" s="26"/>
    </row>
    <row r="21" spans="2:16" ht="142.5" thickBot="1">
      <c r="B21" s="42"/>
      <c r="C21" s="16" t="s">
        <v>58</v>
      </c>
      <c r="D21" s="16" t="s">
        <v>58</v>
      </c>
      <c r="E21" s="16" t="s">
        <v>59</v>
      </c>
      <c r="F21" s="16" t="s">
        <v>60</v>
      </c>
      <c r="G21" s="47"/>
      <c r="H21" s="48"/>
      <c r="I21" s="53"/>
      <c r="J21" s="54"/>
      <c r="K21" s="53"/>
      <c r="L21" s="54"/>
      <c r="M21" s="53"/>
      <c r="N21" s="54"/>
      <c r="O21" s="40"/>
      <c r="P21" s="26"/>
    </row>
    <row r="22" spans="2:16" ht="143.25" customHeight="1">
      <c r="B22" s="12" t="s">
        <v>61</v>
      </c>
      <c r="C22" s="27" t="s">
        <v>62</v>
      </c>
      <c r="D22" s="28"/>
      <c r="E22" s="28"/>
      <c r="F22" s="28"/>
      <c r="G22" s="28"/>
      <c r="H22" s="28"/>
      <c r="I22" s="28"/>
      <c r="J22" s="28"/>
      <c r="K22" s="28"/>
      <c r="L22" s="28"/>
      <c r="M22" s="28"/>
      <c r="N22" s="28"/>
      <c r="O22" s="29"/>
    </row>
    <row r="23" spans="2:16" ht="90" customHeight="1" thickBot="1">
      <c r="B23" s="13" t="s">
        <v>63</v>
      </c>
      <c r="C23" s="30" t="s">
        <v>64</v>
      </c>
      <c r="D23" s="31"/>
      <c r="E23" s="31"/>
      <c r="F23" s="31"/>
      <c r="G23" s="31"/>
      <c r="H23" s="31"/>
      <c r="I23" s="31"/>
      <c r="J23" s="31"/>
      <c r="K23" s="31"/>
      <c r="L23" s="31"/>
      <c r="M23" s="31"/>
      <c r="N23" s="31"/>
      <c r="O23" s="32"/>
    </row>
    <row r="25" spans="2:16">
      <c r="B25" s="92" t="s">
        <v>65</v>
      </c>
      <c r="C25" s="93"/>
      <c r="D25" s="93"/>
      <c r="E25" s="93"/>
      <c r="F25" s="93"/>
      <c r="G25" s="93"/>
      <c r="H25" s="93"/>
      <c r="I25" s="93"/>
      <c r="J25" s="93"/>
      <c r="K25" s="93"/>
      <c r="L25" s="93"/>
      <c r="M25" s="93"/>
      <c r="N25" s="93"/>
      <c r="O25" s="93"/>
    </row>
    <row r="26" spans="2:16">
      <c r="B26" s="94" t="s">
        <v>4</v>
      </c>
      <c r="C26" s="94"/>
      <c r="D26" s="95" t="s">
        <v>66</v>
      </c>
      <c r="E26" s="95"/>
      <c r="F26" s="95"/>
      <c r="G26" s="95"/>
      <c r="H26" s="96"/>
      <c r="I26" s="20"/>
      <c r="J26" s="94" t="s">
        <v>67</v>
      </c>
      <c r="K26" s="94"/>
      <c r="L26" s="94"/>
      <c r="M26" s="94"/>
      <c r="N26" s="94"/>
      <c r="O26" s="94"/>
    </row>
    <row r="27" spans="2:16">
      <c r="B27" s="94"/>
      <c r="C27" s="94"/>
      <c r="D27" s="20" t="s">
        <v>68</v>
      </c>
      <c r="E27" s="21"/>
      <c r="F27" s="97" t="s">
        <v>69</v>
      </c>
      <c r="G27" s="98"/>
      <c r="H27" s="19" t="s">
        <v>70</v>
      </c>
      <c r="I27" s="19"/>
      <c r="J27" s="94"/>
      <c r="K27" s="94"/>
      <c r="L27" s="94"/>
      <c r="M27" s="94"/>
      <c r="N27" s="94"/>
      <c r="O27" s="94"/>
    </row>
    <row r="28" spans="2:16">
      <c r="B28" s="100">
        <v>1</v>
      </c>
      <c r="C28" s="100"/>
      <c r="D28" s="23"/>
      <c r="E28" s="23"/>
      <c r="F28" s="87"/>
      <c r="G28" s="87"/>
      <c r="H28" s="22"/>
      <c r="I28" s="22"/>
      <c r="J28" s="100" t="s">
        <v>71</v>
      </c>
      <c r="K28" s="100"/>
      <c r="L28" s="100"/>
      <c r="M28" s="100"/>
      <c r="N28" s="100"/>
      <c r="O28" s="100"/>
    </row>
    <row r="29" spans="2:16">
      <c r="B29" s="24"/>
      <c r="C29" s="25"/>
      <c r="D29" s="25"/>
      <c r="E29" s="25"/>
      <c r="F29" s="25"/>
      <c r="G29" s="24"/>
      <c r="H29" s="24"/>
      <c r="I29" s="24"/>
      <c r="J29" s="25"/>
      <c r="K29" s="25"/>
      <c r="L29" s="25"/>
      <c r="M29" s="25"/>
      <c r="N29" s="25"/>
      <c r="O29" s="25"/>
    </row>
    <row r="30" spans="2:16" ht="15" customHeight="1">
      <c r="B30" s="101" t="s">
        <v>72</v>
      </c>
      <c r="C30" s="101"/>
      <c r="D30" s="101"/>
      <c r="E30" s="101"/>
      <c r="F30" s="101"/>
      <c r="G30" s="101"/>
      <c r="H30" s="101"/>
      <c r="I30" s="101"/>
      <c r="J30" s="101"/>
      <c r="K30" s="101"/>
      <c r="L30" s="101"/>
      <c r="M30" s="101"/>
      <c r="N30" s="101"/>
      <c r="O30" s="101"/>
    </row>
    <row r="31" spans="2:16">
      <c r="B31" s="101" t="s">
        <v>73</v>
      </c>
      <c r="C31" s="101"/>
      <c r="D31" s="101"/>
      <c r="E31" s="101"/>
      <c r="F31" s="101"/>
      <c r="G31" s="101"/>
      <c r="H31" s="101"/>
      <c r="I31" s="101"/>
      <c r="J31" s="101"/>
      <c r="K31" s="101"/>
      <c r="L31" s="101"/>
      <c r="M31" s="101"/>
      <c r="N31" s="101"/>
      <c r="O31" s="101"/>
    </row>
    <row r="32" spans="2:16" ht="15" customHeight="1">
      <c r="B32" s="99" t="s">
        <v>74</v>
      </c>
      <c r="C32" s="99"/>
      <c r="D32" s="99"/>
      <c r="E32" s="99"/>
      <c r="F32" s="99"/>
      <c r="G32" s="99"/>
      <c r="H32" s="99" t="s">
        <v>75</v>
      </c>
      <c r="I32" s="99"/>
      <c r="J32" s="99"/>
      <c r="K32" s="99"/>
      <c r="L32" s="99"/>
      <c r="M32" s="99" t="s">
        <v>76</v>
      </c>
      <c r="N32" s="99"/>
      <c r="O32" s="99"/>
    </row>
    <row r="33" spans="2:15">
      <c r="B33" s="102"/>
      <c r="C33" s="102"/>
      <c r="D33" s="102"/>
      <c r="E33" s="102"/>
      <c r="F33" s="102"/>
      <c r="G33" s="102"/>
      <c r="H33" s="102"/>
      <c r="I33" s="102"/>
      <c r="J33" s="102"/>
      <c r="K33" s="102"/>
      <c r="L33" s="102"/>
      <c r="M33" s="102"/>
      <c r="N33" s="102"/>
      <c r="O33" s="102"/>
    </row>
    <row r="34" spans="2:15">
      <c r="B34" s="99" t="s">
        <v>77</v>
      </c>
      <c r="C34" s="99"/>
      <c r="D34" s="99"/>
      <c r="E34" s="99"/>
      <c r="F34" s="99"/>
      <c r="G34" s="99"/>
      <c r="H34" s="99"/>
      <c r="I34" s="99"/>
      <c r="J34" s="99"/>
      <c r="K34" s="99"/>
      <c r="L34" s="99"/>
      <c r="M34" s="99"/>
      <c r="N34" s="99"/>
      <c r="O34" s="99"/>
    </row>
    <row r="35" spans="2:15">
      <c r="B35" s="99" t="s">
        <v>74</v>
      </c>
      <c r="C35" s="99"/>
      <c r="D35" s="99"/>
      <c r="E35" s="99"/>
      <c r="F35" s="99"/>
      <c r="G35" s="99"/>
      <c r="H35" s="99" t="s">
        <v>75</v>
      </c>
      <c r="I35" s="99"/>
      <c r="J35" s="99"/>
      <c r="K35" s="99"/>
      <c r="L35" s="99"/>
      <c r="M35" s="99" t="s">
        <v>76</v>
      </c>
      <c r="N35" s="99"/>
      <c r="O35" s="99"/>
    </row>
    <row r="36" spans="2:15" ht="21.75">
      <c r="B36" s="103" t="s">
        <v>78</v>
      </c>
      <c r="C36" s="104"/>
      <c r="D36" s="104"/>
      <c r="E36" s="104"/>
      <c r="F36" s="104"/>
      <c r="G36" s="104"/>
      <c r="H36" s="103" t="s">
        <v>79</v>
      </c>
      <c r="I36" s="104"/>
      <c r="J36" s="104"/>
      <c r="K36" s="104"/>
      <c r="L36" s="104"/>
      <c r="M36" s="105" t="s">
        <v>80</v>
      </c>
      <c r="N36" s="106"/>
      <c r="O36" s="107"/>
    </row>
    <row r="37" spans="2:15">
      <c r="B37" s="99" t="s">
        <v>81</v>
      </c>
      <c r="C37" s="99"/>
      <c r="D37" s="99"/>
      <c r="E37" s="99"/>
      <c r="F37" s="99"/>
      <c r="G37" s="99"/>
      <c r="H37" s="99"/>
      <c r="I37" s="99"/>
      <c r="J37" s="99"/>
      <c r="K37" s="99"/>
      <c r="L37" s="99"/>
      <c r="M37" s="99"/>
      <c r="N37" s="99"/>
      <c r="O37" s="99"/>
    </row>
    <row r="38" spans="2:15">
      <c r="B38" s="99" t="s">
        <v>74</v>
      </c>
      <c r="C38" s="99"/>
      <c r="D38" s="99"/>
      <c r="E38" s="99"/>
      <c r="F38" s="99"/>
      <c r="G38" s="99"/>
      <c r="H38" s="99" t="s">
        <v>75</v>
      </c>
      <c r="I38" s="99"/>
      <c r="J38" s="99"/>
      <c r="K38" s="99"/>
      <c r="L38" s="99"/>
      <c r="M38" s="99" t="s">
        <v>76</v>
      </c>
      <c r="N38" s="99"/>
      <c r="O38" s="99"/>
    </row>
    <row r="39" spans="2:15">
      <c r="B39" s="102"/>
      <c r="C39" s="102"/>
      <c r="D39" s="102"/>
      <c r="E39" s="102"/>
      <c r="F39" s="102"/>
      <c r="G39" s="102"/>
      <c r="H39" s="102"/>
      <c r="I39" s="102"/>
      <c r="J39" s="102"/>
      <c r="K39" s="102"/>
      <c r="L39" s="102"/>
      <c r="M39" s="102"/>
      <c r="N39" s="102"/>
      <c r="O39" s="102"/>
    </row>
  </sheetData>
  <mergeCells count="72">
    <mergeCell ref="B39:G39"/>
    <mergeCell ref="H39:L39"/>
    <mergeCell ref="M39:O39"/>
    <mergeCell ref="B36:G36"/>
    <mergeCell ref="H36:L36"/>
    <mergeCell ref="M36:O36"/>
    <mergeCell ref="B37:O37"/>
    <mergeCell ref="B38:G38"/>
    <mergeCell ref="H38:L38"/>
    <mergeCell ref="M38:O38"/>
    <mergeCell ref="B33:G33"/>
    <mergeCell ref="H33:L33"/>
    <mergeCell ref="M33:O33"/>
    <mergeCell ref="B34:O34"/>
    <mergeCell ref="B35:G35"/>
    <mergeCell ref="H35:L35"/>
    <mergeCell ref="M35:O35"/>
    <mergeCell ref="B32:G32"/>
    <mergeCell ref="H32:L32"/>
    <mergeCell ref="M32:O32"/>
    <mergeCell ref="B28:C28"/>
    <mergeCell ref="F28:G28"/>
    <mergeCell ref="J28:O28"/>
    <mergeCell ref="B30:O30"/>
    <mergeCell ref="B31:O31"/>
    <mergeCell ref="B25:O25"/>
    <mergeCell ref="B26:C27"/>
    <mergeCell ref="D26:H26"/>
    <mergeCell ref="J26:O27"/>
    <mergeCell ref="F27:G27"/>
    <mergeCell ref="C9:I9"/>
    <mergeCell ref="K9:M9"/>
    <mergeCell ref="B2:B4"/>
    <mergeCell ref="C2:O2"/>
    <mergeCell ref="C3:O4"/>
    <mergeCell ref="D5:F5"/>
    <mergeCell ref="H5:J5"/>
    <mergeCell ref="K5:L5"/>
    <mergeCell ref="M5:N5"/>
    <mergeCell ref="B6:O6"/>
    <mergeCell ref="B7:O7"/>
    <mergeCell ref="C8:F8"/>
    <mergeCell ref="H8:I8"/>
    <mergeCell ref="C10:O10"/>
    <mergeCell ref="C11:O11"/>
    <mergeCell ref="B12:C12"/>
    <mergeCell ref="D12:G12"/>
    <mergeCell ref="H12:J12"/>
    <mergeCell ref="K12:M12"/>
    <mergeCell ref="N12:O12"/>
    <mergeCell ref="B17:B18"/>
    <mergeCell ref="C17:C18"/>
    <mergeCell ref="D17:F17"/>
    <mergeCell ref="G17:H18"/>
    <mergeCell ref="I17:J18"/>
    <mergeCell ref="B13:C16"/>
    <mergeCell ref="D13:G16"/>
    <mergeCell ref="H13:J16"/>
    <mergeCell ref="K13:M16"/>
    <mergeCell ref="N13:O16"/>
    <mergeCell ref="B19:B21"/>
    <mergeCell ref="G19:H21"/>
    <mergeCell ref="I19:J21"/>
    <mergeCell ref="K19:L21"/>
    <mergeCell ref="M19:N21"/>
    <mergeCell ref="P19:P21"/>
    <mergeCell ref="C22:O22"/>
    <mergeCell ref="C23:O23"/>
    <mergeCell ref="K17:L18"/>
    <mergeCell ref="M17:N18"/>
    <mergeCell ref="O17:O18"/>
    <mergeCell ref="O19:O2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Maria Camila Vasquez Diaz</cp:lastModifiedBy>
  <cp:revision/>
  <dcterms:created xsi:type="dcterms:W3CDTF">2023-12-18T16:00:23Z</dcterms:created>
  <dcterms:modified xsi:type="dcterms:W3CDTF">2025-11-06T15:55:13Z</dcterms:modified>
  <cp:category/>
  <cp:contentStatus/>
</cp:coreProperties>
</file>