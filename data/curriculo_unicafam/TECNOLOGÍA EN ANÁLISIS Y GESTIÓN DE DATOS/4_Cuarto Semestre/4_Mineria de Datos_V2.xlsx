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unicafamnet-my.sharepoint.com/personal/fulbia_ceron_unicafam_edu_co/Documents/Desktop/Tecnología_Analisis_Gestion_Datos/"/>
    </mc:Choice>
  </mc:AlternateContent>
  <xr:revisionPtr revIDLastSave="14" documentId="8_{090CAECB-D609-4805-8D3C-7F76A0BF8A0C}" xr6:coauthVersionLast="47" xr6:coauthVersionMax="47" xr10:uidLastSave="{212AF8F9-D7A9-4A2C-8A5E-BC4BB5E49F88}"/>
  <bookViews>
    <workbookView xWindow="28680" yWindow="-120" windowWidth="20730" windowHeight="11040" xr2:uid="{61C8A12A-69E7-4556-8D91-D74DA78B6971}"/>
  </bookViews>
  <sheets>
    <sheet name="4Mineria de Datos" sheetId="1" r:id="rId1"/>
  </sheets>
  <externalReferences>
    <externalReference r:id="rId2"/>
    <externalReference r:id="rId3"/>
    <externalReference r:id="rId4"/>
    <externalReference r:id="rId5"/>
    <externalReference r:id="rId6"/>
  </externalReferences>
  <definedNames>
    <definedName name="_xlnm.Print_Area" localSheetId="0">'4Mineria de Datos'!$B$2:$O$40</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M8"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<sst xmlns="http://schemas.openxmlformats.org/spreadsheetml/2006/main" count="96" uniqueCount="88">
  <si>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</si>
  <si>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</si>
  <si>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</si>
  <si>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</si>
  <si>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</si>
  <si>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</si>
  <si>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</si>
  <si>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</si>
  <si>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</si>
  <si>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</si>
  <si>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MINERÍA DE DATOS</t>
  </si>
  <si>
    <t>N° Créditos:</t>
  </si>
  <si>
    <t>TFD:</t>
  </si>
  <si>
    <t>TTI:</t>
  </si>
  <si>
    <t>MODALIDAD:</t>
  </si>
  <si>
    <t>Presencial</t>
  </si>
  <si>
    <t>PROGRAMA:</t>
  </si>
  <si>
    <t>Tecnología en Análisis y gestión de Datos</t>
  </si>
  <si>
    <t>SEMESTRE:</t>
  </si>
  <si>
    <t>IV</t>
  </si>
  <si>
    <t>CÓDIGO:</t>
  </si>
  <si>
    <t>ÁREA DE FORMACIÓN:</t>
  </si>
  <si>
    <t>Específica</t>
  </si>
  <si>
    <t>JUSTIFICACIÓN:</t>
  </si>
  <si>
    <t>La minería de datos es un método de análisis de datos para descubrir patrones en grandes conjuntos de datos utilizando los métodos de estadísticas, inteligencia artificial, aprendizaje automático y bases de datos. Además busca los patrones ocultos en los datos que pueden utilizarse para predecir el comportamiento futuro. Las empresas, los científicos y los gobiernos han utilizado este enfoque por años para transformar los datos en conocimientos proactivos.</t>
  </si>
  <si>
    <t xml:space="preserve">COMPETENCIA </t>
  </si>
  <si>
    <t>SABERES ESPECÍFICOS
(saber)</t>
  </si>
  <si>
    <t xml:space="preserve">HABILIDADES O DESTREZAS 
(saber hacer) </t>
  </si>
  <si>
    <t xml:space="preserve">ACTITUDES 
(saber ser) </t>
  </si>
  <si>
    <t xml:space="preserve">APRENDER A APRENDER </t>
  </si>
  <si>
    <t>Proponer nuevos usos de los datos que provean información útil que agregue valor.</t>
  </si>
  <si>
    <t>1  Importancia del dato en la toma de decisiones.
1.1  La importancia del dato en las decisiones de Negocio
1.2  Definición de minería de datos
1.3  El proceso de la Minería de Datos
1.4  Tipologías de Técnicas de Minería de Datos
1.5  Propiedades de la Minería de Datos
2  Análisis exploratorio de datos y preprocesamiento 2.1Exploración de los Datos
2.1 Preprocesamiento de Datos
2.2 Preprocesamiento de Datos II Predictivos
2.3 Medición de la Calidad del Modelo Predictivo
3 – Fundamentos y administración de la información.?
3.1  Conceptualización analítica de los datos
3.2  Manejo de Excel avanzado filtros avanzados
3.3  Manejo de Excel avanzado Tablas Dinámicas
3.4  Manejo de Excel avanzado relación de tablas dinámicas
3.5  Manejo de Excel avanzado - Gráficos dinámicos y combinados
4   Clasificación y predicción
4.1  Problemas de clasificación.
4.2  Árboles de decisión
4.3  Clasificadores estadísticos: regresión y análisis discriminante
4.4  Redes Bayesianas
4.5. Redes Neuronales.
4.6   de los modelos extraídos.
5  Reglas de Asociación
5.1 Definición de reglas de asociación
5.2 Definición del problema.
5.3 Algoritmo A priori.
6   Agrupación (Clustering)
6.1. Definición.
6.2  Distancia entre datos.
6.3 Principales métodos de agrupación.
7   Detección de datos anómalos
7.1  Métodos estadísticos
7.2 Métodos de proximidad.
7.3 Métodos de agrupación.</t>
  </si>
  <si>
    <t>Utiliza las diversas técnicas existentes de minería de datos, en cada una de las fases de extracción de conocimiento a partir de datos.
Utiliza herramientas básicas aplicando las etapas del KDD y utilizando algoritmos descriptivos clásicos para realizar un análisis de una base de datos,.
Halla un conjunto de patrones secuenciales a partir de los conglomerados, con base en los datos.
Aplica la minería de datos para resolver problemas concretos de diferentes campos</t>
  </si>
  <si>
    <t>Construye sus metas de aprendizaje para el desarrollo de la unidad.
Aplica y reflexiona sobre las estrategias que le permiten acceder, manejar y transformar sus conocimientos.
Reflexiona, verifica y autorregula su aprendizaje</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</si>
  <si>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</si>
  <si>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</si>
  <si>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</si>
  <si>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</si>
  <si>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</si>
  <si>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</si>
  <si>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</si>
  <si>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</si>
  <si>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</si>
  <si>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</si>
  <si>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</si>
  <si>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Determina nuevas oportunidades de uso de los datos ya analizados.</t>
  </si>
  <si>
    <t>1.  Utiliza las diversas técnicas existentes de minería de datos, en cada una de las fases de extracción de conocimiento a partir de datos</t>
  </si>
  <si>
    <t>Utiliza las diversas técnicas existentes de minería de datos, en cada una de las fases de extracción de conocimiento a partir de datos</t>
  </si>
  <si>
    <t>Utiliza algunas técnicas existentes de minería de datos, en alguna de las fases de extracción de conocimiento a partir de datos</t>
  </si>
  <si>
    <t>No utiliza las diversas técnicas existentes de minería de datos, en ninguna de las fases de extracción de conocimiento a partir de datos</t>
  </si>
  <si>
    <t>Aprendizaje Basado en Problemas 
Aprendizaje Basado en Proyecto</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</si>
  <si>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</si>
  <si>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 xml:space="preserve">Con la rúbrica como herramienta de evaluación del desempeño se evidenciará:
A) Claridad en la presentación del razonamiento, la metodología utilizada para llegar a la solución del problema
B) Capacidad  para encontrar soluciones creativas e innovadoras al enfrentar desafíos y problemas complejos 
C) La eficiencia con la que se utiliza recursos disponibles y herramientas pertinentes para abordar y resolver el problema de manera efectiva.
</t>
  </si>
  <si>
    <r>
      <t xml:space="preserve">Utilizando la rúbrica como herramienta de evaluación, se evidenciará el seguimiento progresivo y el cumplimiento gradual de los objetivos planteados en el problema o en el proyecto en cada entregable  a travez de 
</t>
    </r>
    <r>
      <rPr>
        <b/>
        <sz val="11"/>
        <rFont val="Aptos Narrow"/>
        <family val="2"/>
        <scheme val="minor"/>
      </rPr>
      <t>Productos Tangibles:</t>
    </r>
    <r>
      <rPr>
        <sz val="11"/>
        <rFont val="Aptos Narrow"/>
        <family val="2"/>
        <scheme val="minor"/>
      </rPr>
      <t xml:space="preserve">
Prototipos, modelos, artefactos físicos o digitales desarrollados como resultado del proyecto.
Informes, documentos técnicos, manuales o presentaciones que documentan el proceso y los resultados del proyecto.
Presentaciones o Demostraciones:
</t>
    </r>
    <r>
      <rPr>
        <b/>
        <sz val="11"/>
        <rFont val="Aptos Narrow"/>
        <family val="2"/>
        <scheme val="minor"/>
      </rPr>
      <t xml:space="preserve">Exposiciones públicas, </t>
    </r>
    <r>
      <rPr>
        <sz val="11"/>
        <rFont val="Aptos Narrow"/>
        <family val="2"/>
        <scheme val="minor"/>
      </rPr>
      <t xml:space="preserve">presentaciones orales o demostraciones ante compañeros, profesores o evaluadores externos.
Defensa de resultados ante un panel de expertos.
</t>
    </r>
    <r>
      <rPr>
        <b/>
        <sz val="11"/>
        <rFont val="Aptos Narrow"/>
        <family val="2"/>
        <scheme val="minor"/>
      </rPr>
      <t>Portafolios:</t>
    </r>
    <r>
      <rPr>
        <sz val="11"/>
        <rFont val="Aptos Narrow"/>
        <family val="2"/>
        <scheme val="minor"/>
      </rPr>
      <t xml:space="preserve">
Recopilación de trabajos, diseños, análisis, investigaciones y reflexiones relacionadas con el proyecto.
Puede incluir evidencia de la planificación, el proceso de ejecución, los resultados obtenidos y las lecciones aprendidas.
</t>
    </r>
    <r>
      <rPr>
        <b/>
        <sz val="11"/>
        <rFont val="Aptos Narrow"/>
        <family val="2"/>
        <scheme val="minor"/>
      </rPr>
      <t>Entregables Finales:</t>
    </r>
    <r>
      <rPr>
        <sz val="11"/>
        <rFont val="Aptos Narrow"/>
        <family val="2"/>
        <scheme val="minor"/>
      </rPr>
      <t xml:space="preserve">
Documentos finales que resumen los hallazgos, conclusiones y recomendaciones del proyecto.
Productos finales que cumplen con los objetivos y criterios establecidos al inicio del proyecto.
Impacto o Aplicación Práctica:
Pruebas de concepto, implementaciones piloto o evidencia de la aplicación práctica de los resultados del proyecto en situaciones reales.</t>
    </r>
  </si>
  <si>
    <r>
      <rPr>
        <b/>
        <sz val="11"/>
        <color rgb="FF000000"/>
        <rFont val="Aptos Narrow"/>
        <family val="2"/>
        <scheme val="minor"/>
      </rPr>
      <t>Aprendizaje Basado en Problemas.</t>
    </r>
    <r>
      <rPr>
        <sz val="11"/>
        <color rgb="FF000000"/>
        <rFont val="Aptos Narrow"/>
        <family val="2"/>
        <scheme val="minor"/>
      </rPr>
      <t xml:space="preserve"> 
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
</t>
    </r>
    <r>
      <rPr>
        <b/>
        <sz val="11"/>
        <color rgb="FF000000"/>
        <rFont val="Aptos Narrow"/>
        <family val="2"/>
        <scheme val="minor"/>
      </rPr>
      <t xml:space="preserve">Aprendizaje Basado en Proyectos
</t>
    </r>
    <r>
      <rPr>
        <sz val="11"/>
        <color rgb="FF000000"/>
        <rFont val="Aptos Narrow"/>
        <family val="2"/>
        <scheme val="minor"/>
      </rPr>
      <t>1. Fase 1:
a. Planeación
b. Investigación
c. Consulta
Fase 2:
a. Diseño y Simulaciones
b. Integración y Construcción
c. Pruebas
Fase 3:
a. Revisión y corrección de fallas o errores
b. Presentación
c. Demostración</t>
    </r>
  </si>
  <si>
    <t>2.Utiliza herramientas básicas aplicando las etapas del KDD y utilizando algoritmos descriptivos clásicos para realizar un análisis de una base de datos para la presentación de la información.</t>
  </si>
  <si>
    <t>Utiliza herramientas básicas aplicando las etapas del KDD y utilizando algoritmos descriptivos clásicos para realizar un análisis de una base de datos.</t>
  </si>
  <si>
    <t>Utiliza algunas herramientas básicas aplicando las etapas del KDD y utilizando algunos algoritmos descriptivos clásicos para realizar un análisis de una base de datos.</t>
  </si>
  <si>
    <t>No utiliza herramientas básicas aplicando las etapas del KDD ni utiliza algoritmos descriptivos clásicos para realizar un análisis de una base de datos.</t>
  </si>
  <si>
    <t>3. Encuentra un conjunto de patrones secuenciales a partir de los conglomerados, con base en los datos para predecir resultados.</t>
  </si>
  <si>
    <t>Encuentra un conjunto de patrones secuenciales a partir de los conglomerados, con base en los datos para predecir resultados.</t>
  </si>
  <si>
    <t>Encuentra algunos patrones secuenciales a partir de los conglomerados, con base en los datos para predecir resultados.</t>
  </si>
  <si>
    <t>No encuentra ningún conjunto de patrones secuenciales a partir de los conglomerados, con base en los datos para predecir resultados.</t>
  </si>
  <si>
    <t>4. Aplica la minería de datos para resolver problemas concretos de diferentes campos.</t>
  </si>
  <si>
    <t>Aplica la minería de datos para resolver problemas concretos de diferentes campos.</t>
  </si>
  <si>
    <t>Aplica ocasionalmente la minería de datos para resolver problemas concretos de diferentes campos.</t>
  </si>
  <si>
    <t>No aplica la minería de datos para resolver problemas concretos de diferentes campos.</t>
  </si>
  <si>
    <t xml:space="preserve">RECURSOS DE APOYO </t>
  </si>
  <si>
    <t>Aula virtual
Software https://www.python.org
Software https://www.mathworks.com/products/matlab.html
Software GeoGebra License; Non-commercial freeware; portions under General Public License (GPL).Wolfram alpha recursos gratuitos 
Sala móvil de equipos pórtatiles
Microsoft 365, incluye Microsoft Office (Word, Excel, PowerPoint, Publisher, Access, Power BI, OneNote, Outlook, Project y Visio), Licencia Universitaria.
Enginnering plus (gale)
Science infomation (gale)
Computer Science (gale)
E-Collection (ISO) (iCONTEC)</t>
  </si>
  <si>
    <t xml:space="preserve">BIBLIOGRAFÍA  </t>
  </si>
  <si>
    <t>Statistical and Machine-Learning Data Mining, Third Edition_ Techniques for Better Predictive Modeling and Analysis of Big Data, Third Edition The Elements of Statistical Learning_ Data Mining, Inference, and Prediction, Second Edition (Springer Series in Statistics)
S: TuffèryData Mining and Statistics for Decision Making .Wiley.2011
Practical Text Mining and Statistical Analysis for Non-structured Text Data Applications.Elsevirer2011.</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</si>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</sst>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sz val="11"/>
      <name val="Aptos Narrow"/>
      <family val="2"/>
      <scheme val="minor"/>
    </font>
    <font>
      <b/>
      <sz val="11"/>
      <color theme="0"/>
      <name val="Verdana"/>
      <family val="2"/>
    </font>
    <font>
      <sz val="11"/>
      <color theme="1"/>
      <name val="Verdana"/>
      <family val="2"/>
    </font>
    <font>
      <sz val="16"/>
      <color rgb="FF000000"/>
      <name val="Vladimir Script"/>
      <family val="4"/>
    </font>
  </fonts>
  <fills count="8">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BCD7EE"/>
        <bgColor indexed="64"/>
      </patternFill>
    </fill>
    <fill>
      <patternFill patternType="solid">
        <fgColor rgb="FF1F4E78"/>
        <bgColor indexed="64"/>
      </patternFill>
    </fill>
    <fill>
      <patternFill patternType="solid">
        <fgColor rgb="FF1F4E78"/>
        <bgColor rgb="FF000000"/>
      </patternFill>
    </fill>
    <fill>
      <patternFill patternType="solid">
        <fgColor rgb="FFFFFFFF"/>
        <bgColor rgb="FF000000"/>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indexed="64"/>
      </right>
      <top style="thin">
        <color auto="1"/>
      </top>
      <bottom/>
      <diagonal/>
    </border>
    <border>
      <left style="thin">
        <color auto="1"/>
      </left>
      <right/>
      <top/>
      <bottom/>
      <diagonal/>
    </border>
    <border>
      <left/>
      <right style="thin">
        <color auto="1"/>
      </right>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auto="1"/>
      </left>
      <right style="thin">
        <color auto="1"/>
      </right>
      <top/>
      <bottom style="thin">
        <color auto="1"/>
      </bottom>
      <diagonal/>
    </border>
    <border>
      <left style="thin">
        <color auto="1"/>
      </left>
      <right style="medium">
        <color auto="1"/>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bottom style="thin">
        <color auto="1"/>
      </bottom>
      <diagonal/>
    </border>
    <border>
      <left/>
      <right/>
      <top/>
      <bottom style="thin">
        <color indexed="64"/>
      </bottom>
      <diagonal/>
    </border>
  </borders>
  <cellStyleXfs count="2">
    <xf numFmtId="0" fontId="0" fillId="0" borderId="0"/>
    <xf numFmtId="0" fontId="1" fillId="0" borderId="0"/>
  </cellStyleXfs>
  <cellXfs count="126">
    <xf numFmtId="0" fontId="0" fillId="0" borderId="0" xfId="0"/>
    <xf numFmtId="0" fontId="3" fillId="0" borderId="1" xfId="0" applyFont="1" applyBorder="1" applyAlignment="1">
      <alignment horizontal="center" vertical="center" wrapText="1"/>
    </xf>
    <xf numFmtId="0" fontId="0" fillId="2" borderId="0" xfId="0" applyFill="1"/>
    <xf numFmtId="0" fontId="9" fillId="0" borderId="6" xfId="0" applyFont="1" applyBorder="1" applyAlignment="1">
      <alignment horizontal="center" vertical="center" wrapText="1"/>
    </xf>
    <xf numFmtId="0" fontId="9" fillId="0" borderId="8" xfId="0" applyFont="1" applyBorder="1" applyAlignment="1">
      <alignment horizontal="left" vertical="center" wrapText="1"/>
    </xf>
    <xf numFmtId="1" fontId="11" fillId="0" borderId="13" xfId="0" applyNumberFormat="1" applyFont="1" applyBorder="1" applyAlignment="1">
      <alignment horizontal="left" vertical="center" wrapText="1"/>
    </xf>
    <xf numFmtId="0" fontId="10" fillId="3" borderId="17" xfId="0" applyFont="1" applyFill="1" applyBorder="1" applyAlignment="1">
      <alignment vertical="center" wrapText="1"/>
    </xf>
    <xf numFmtId="0" fontId="11" fillId="3" borderId="40" xfId="0" applyFont="1" applyFill="1" applyBorder="1" applyAlignment="1">
      <alignment horizontal="left" vertical="top" wrapText="1"/>
    </xf>
    <xf numFmtId="0" fontId="11" fillId="0" borderId="40" xfId="0" applyFont="1" applyBorder="1" applyAlignment="1">
      <alignment horizontal="left" vertical="top" wrapText="1"/>
    </xf>
    <xf numFmtId="0" fontId="11" fillId="3" borderId="1" xfId="0" applyFont="1" applyFill="1" applyBorder="1" applyAlignment="1">
      <alignment horizontal="left" vertical="top" wrapText="1"/>
    </xf>
    <xf numFmtId="0" fontId="11" fillId="0" borderId="1" xfId="0" applyFont="1" applyBorder="1" applyAlignment="1">
      <alignment horizontal="left" vertical="top" wrapText="1"/>
    </xf>
    <xf numFmtId="0" fontId="11" fillId="3" borderId="30" xfId="0" applyFont="1" applyFill="1" applyBorder="1" applyAlignment="1">
      <alignment horizontal="left" vertical="top" wrapText="1"/>
    </xf>
    <xf numFmtId="0" fontId="11" fillId="0" borderId="30" xfId="0" applyFont="1" applyBorder="1" applyAlignment="1">
      <alignment horizontal="left" vertical="top" wrapText="1"/>
    </xf>
    <xf numFmtId="0" fontId="13" fillId="0" borderId="1" xfId="0" applyFont="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3" fillId="2" borderId="0" xfId="0" applyFont="1" applyFill="1" applyAlignment="1">
      <alignment horizontal="center" vertical="center"/>
    </xf>
    <xf numFmtId="0" fontId="8" fillId="4" borderId="2" xfId="0" applyFont="1" applyFill="1" applyBorder="1" applyAlignment="1">
      <alignment horizontal="left" vertical="center" wrapText="1"/>
    </xf>
    <xf numFmtId="0" fontId="8" fillId="4" borderId="9" xfId="0" applyFont="1" applyFill="1" applyBorder="1" applyAlignment="1">
      <alignment horizontal="left" vertical="center" wrapText="1"/>
    </xf>
    <xf numFmtId="0" fontId="8" fillId="4" borderId="14"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8" fillId="4" borderId="6" xfId="0" applyFont="1" applyFill="1" applyBorder="1" applyAlignment="1">
      <alignment horizontal="left" vertical="center" wrapText="1"/>
    </xf>
    <xf numFmtId="0" fontId="8" fillId="4" borderId="6"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4" borderId="7" xfId="1"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4" borderId="2"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2" fillId="5" borderId="1" xfId="0" applyFont="1" applyFill="1" applyBorder="1" applyAlignment="1" applyProtection="1">
      <alignment horizontal="center" vertical="center" wrapText="1"/>
      <protection hidden="1"/>
    </xf>
    <xf numFmtId="0" fontId="12" fillId="5" borderId="12" xfId="0" applyFont="1" applyFill="1" applyBorder="1" applyAlignment="1" applyProtection="1">
      <alignment horizontal="center" vertical="center" wrapText="1"/>
      <protection hidden="1"/>
    </xf>
    <xf numFmtId="0" fontId="12" fillId="5" borderId="24" xfId="0" applyFont="1" applyFill="1" applyBorder="1" applyAlignment="1" applyProtection="1">
      <alignment horizontal="center" vertical="center" wrapText="1"/>
      <protection hidden="1"/>
    </xf>
    <xf numFmtId="0" fontId="13" fillId="3" borderId="1" xfId="0" applyFont="1" applyFill="1" applyBorder="1" applyAlignment="1" applyProtection="1">
      <alignment horizontal="center" vertical="center" wrapText="1"/>
      <protection hidden="1"/>
    </xf>
    <xf numFmtId="0" fontId="3"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14" fillId="7" borderId="10" xfId="0" applyFont="1" applyFill="1" applyBorder="1" applyAlignment="1">
      <alignment horizontal="center" vertical="center" wrapText="1"/>
    </xf>
    <xf numFmtId="0" fontId="14" fillId="7" borderId="11"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2" fillId="5" borderId="1" xfId="0" applyFont="1" applyFill="1" applyBorder="1" applyAlignment="1" applyProtection="1">
      <alignment horizontal="center" vertical="center" wrapText="1"/>
      <protection hidden="1"/>
    </xf>
    <xf numFmtId="0" fontId="11" fillId="0" borderId="6" xfId="0" applyFont="1" applyBorder="1" applyAlignment="1">
      <alignment horizontal="left" vertical="top" wrapText="1"/>
    </xf>
    <xf numFmtId="0" fontId="11" fillId="0" borderId="6" xfId="0" applyFont="1" applyBorder="1" applyAlignment="1">
      <alignment horizontal="left" vertical="top"/>
    </xf>
    <xf numFmtId="0" fontId="11" fillId="0" borderId="8" xfId="0" applyFont="1" applyBorder="1" applyAlignment="1">
      <alignment horizontal="left" vertical="top"/>
    </xf>
    <xf numFmtId="0" fontId="11" fillId="0" borderId="30" xfId="0" applyFont="1" applyBorder="1" applyAlignment="1">
      <alignment horizontal="left" vertical="top" wrapText="1"/>
    </xf>
    <xf numFmtId="0" fontId="11" fillId="0" borderId="38" xfId="0" applyFont="1" applyBorder="1" applyAlignment="1">
      <alignment horizontal="left" vertical="top" wrapText="1"/>
    </xf>
    <xf numFmtId="0" fontId="12" fillId="5" borderId="44" xfId="0" applyFont="1" applyFill="1" applyBorder="1" applyAlignment="1" applyProtection="1">
      <alignment horizontal="center" vertical="center" wrapText="1"/>
      <protection hidden="1"/>
    </xf>
    <xf numFmtId="0" fontId="12" fillId="5" borderId="45" xfId="0" applyFont="1" applyFill="1" applyBorder="1" applyAlignment="1" applyProtection="1">
      <alignment horizontal="center" vertical="center" wrapText="1"/>
      <protection hidden="1"/>
    </xf>
    <xf numFmtId="0" fontId="12" fillId="5" borderId="11" xfId="0" applyFont="1" applyFill="1" applyBorder="1" applyAlignment="1" applyProtection="1">
      <alignment horizontal="center" vertical="center" wrapText="1"/>
      <protection hidden="1"/>
    </xf>
    <xf numFmtId="0" fontId="12" fillId="5" borderId="12" xfId="0" applyFont="1" applyFill="1" applyBorder="1" applyAlignment="1" applyProtection="1">
      <alignment horizontal="center" vertical="center" wrapText="1"/>
      <protection hidden="1"/>
    </xf>
    <xf numFmtId="0" fontId="12" fillId="5" borderId="24" xfId="0" applyFont="1" applyFill="1" applyBorder="1" applyAlignment="1" applyProtection="1">
      <alignment horizontal="center" vertical="center" wrapText="1"/>
      <protection hidden="1"/>
    </xf>
    <xf numFmtId="0" fontId="12" fillId="5" borderId="25" xfId="0" applyFont="1" applyFill="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hidden="1"/>
    </xf>
    <xf numFmtId="0" fontId="0" fillId="3" borderId="1" xfId="0" applyFill="1" applyBorder="1" applyAlignment="1">
      <alignment horizontal="center"/>
    </xf>
    <xf numFmtId="0" fontId="4" fillId="6" borderId="1" xfId="0" applyFont="1" applyFill="1" applyBorder="1" applyAlignment="1">
      <alignment horizontal="center" vertical="center" wrapText="1"/>
    </xf>
    <xf numFmtId="0" fontId="8" fillId="4" borderId="35" xfId="0" applyFont="1" applyFill="1" applyBorder="1" applyAlignment="1">
      <alignment horizontal="center" vertical="center" wrapText="1"/>
    </xf>
    <xf numFmtId="0" fontId="8" fillId="4" borderId="37"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8" fillId="4" borderId="32" xfId="0" applyFont="1" applyFill="1" applyBorder="1" applyAlignment="1">
      <alignment horizontal="center" vertical="center" wrapText="1"/>
    </xf>
    <xf numFmtId="0" fontId="8" fillId="4" borderId="36" xfId="0" applyFont="1" applyFill="1" applyBorder="1" applyAlignment="1">
      <alignment horizontal="center" vertical="center" wrapText="1"/>
    </xf>
    <xf numFmtId="0" fontId="8" fillId="4" borderId="33"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38" xfId="0" applyFont="1" applyFill="1" applyBorder="1" applyAlignment="1">
      <alignment horizontal="center" vertical="center" wrapText="1"/>
    </xf>
    <xf numFmtId="0" fontId="11" fillId="3" borderId="39" xfId="0" applyFont="1" applyFill="1" applyBorder="1" applyAlignment="1">
      <alignment horizontal="left" vertical="center" wrapText="1"/>
    </xf>
    <xf numFmtId="0" fontId="11" fillId="3" borderId="42" xfId="0" applyFont="1" applyFill="1" applyBorder="1" applyAlignment="1">
      <alignment horizontal="left" vertical="center" wrapText="1"/>
    </xf>
    <xf numFmtId="0" fontId="10" fillId="0" borderId="35" xfId="0" applyFont="1" applyBorder="1" applyAlignment="1">
      <alignment horizontal="left" vertical="center" wrapText="1"/>
    </xf>
    <xf numFmtId="0" fontId="11" fillId="0" borderId="36" xfId="0" applyFont="1" applyBorder="1" applyAlignment="1">
      <alignment horizontal="left" vertical="center" wrapText="1"/>
    </xf>
    <xf numFmtId="0" fontId="10" fillId="0" borderId="27" xfId="0" applyFont="1" applyBorder="1" applyAlignment="1">
      <alignment horizontal="left" vertical="center" wrapText="1"/>
    </xf>
    <xf numFmtId="0" fontId="11" fillId="0" borderId="28" xfId="0" applyFont="1" applyBorder="1" applyAlignment="1">
      <alignment horizontal="left" vertical="center" wrapText="1"/>
    </xf>
    <xf numFmtId="0" fontId="11" fillId="0" borderId="27" xfId="0" applyFont="1" applyBorder="1" applyAlignment="1">
      <alignment horizontal="left" vertical="center" wrapText="1"/>
    </xf>
    <xf numFmtId="0" fontId="11" fillId="0" borderId="31" xfId="0" applyFont="1" applyBorder="1" applyAlignment="1">
      <alignment horizontal="left" vertical="center" wrapText="1"/>
    </xf>
    <xf numFmtId="0" fontId="11" fillId="0" borderId="33" xfId="0" applyFont="1" applyBorder="1" applyAlignment="1">
      <alignment horizontal="left" vertical="center" wrapText="1"/>
    </xf>
    <xf numFmtId="0" fontId="11" fillId="0" borderId="35" xfId="0" applyFont="1" applyBorder="1" applyAlignment="1">
      <alignment horizontal="left" vertical="top" wrapText="1"/>
    </xf>
    <xf numFmtId="0" fontId="11" fillId="0" borderId="36" xfId="0" applyFont="1" applyBorder="1" applyAlignment="1">
      <alignment horizontal="left" vertical="top" wrapText="1"/>
    </xf>
    <xf numFmtId="0" fontId="11" fillId="0" borderId="27" xfId="0" applyFont="1" applyBorder="1" applyAlignment="1">
      <alignment horizontal="left" vertical="top" wrapText="1"/>
    </xf>
    <xf numFmtId="0" fontId="11" fillId="0" borderId="28" xfId="0" applyFont="1" applyBorder="1" applyAlignment="1">
      <alignment horizontal="left" vertical="top" wrapText="1"/>
    </xf>
    <xf numFmtId="0" fontId="11" fillId="0" borderId="31" xfId="0" applyFont="1" applyBorder="1" applyAlignment="1">
      <alignment horizontal="left" vertical="top" wrapText="1"/>
    </xf>
    <xf numFmtId="0" fontId="11" fillId="0" borderId="33" xfId="0" applyFont="1" applyBorder="1" applyAlignment="1">
      <alignment horizontal="left" vertical="top" wrapText="1"/>
    </xf>
    <xf numFmtId="0" fontId="9" fillId="0" borderId="41" xfId="0" applyFont="1" applyBorder="1" applyAlignment="1">
      <alignment horizontal="left" vertical="top" wrapText="1"/>
    </xf>
    <xf numFmtId="0" fontId="11" fillId="0" borderId="41" xfId="0" applyFont="1" applyBorder="1" applyAlignment="1">
      <alignment horizontal="left" vertical="top" wrapText="1"/>
    </xf>
    <xf numFmtId="0" fontId="11" fillId="0" borderId="43" xfId="0" applyFont="1" applyBorder="1" applyAlignment="1">
      <alignment horizontal="left" vertical="top" wrapText="1"/>
    </xf>
    <xf numFmtId="0" fontId="8" fillId="4" borderId="2"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2" fillId="4" borderId="36"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4" borderId="33" xfId="0" applyFont="1" applyFill="1" applyBorder="1" applyAlignment="1">
      <alignment horizontal="center" vertical="center" wrapText="1"/>
    </xf>
    <xf numFmtId="0" fontId="11" fillId="3" borderId="9" xfId="0" applyFont="1" applyFill="1" applyBorder="1" applyAlignment="1">
      <alignment vertical="center" wrapText="1"/>
    </xf>
    <xf numFmtId="0" fontId="11" fillId="3" borderId="1" xfId="0" applyFont="1" applyFill="1" applyBorder="1" applyAlignment="1">
      <alignment vertical="center" wrapText="1"/>
    </xf>
    <xf numFmtId="0" fontId="11" fillId="3" borderId="14" xfId="0" applyFont="1" applyFill="1" applyBorder="1" applyAlignment="1">
      <alignment vertical="center" wrapText="1"/>
    </xf>
    <xf numFmtId="0" fontId="11" fillId="3" borderId="30" xfId="0" applyFont="1" applyFill="1" applyBorder="1" applyAlignment="1">
      <alignment vertical="center" wrapText="1"/>
    </xf>
    <xf numFmtId="0" fontId="11" fillId="3" borderId="23" xfId="0" applyFont="1" applyFill="1" applyBorder="1" applyAlignment="1">
      <alignment horizontal="left" vertical="top" wrapText="1"/>
    </xf>
    <xf numFmtId="0" fontId="11" fillId="3" borderId="24" xfId="0" applyFont="1" applyFill="1" applyBorder="1" applyAlignment="1">
      <alignment horizontal="left" vertical="top" wrapText="1"/>
    </xf>
    <xf numFmtId="0" fontId="11" fillId="3" borderId="25" xfId="0" applyFont="1" applyFill="1" applyBorder="1" applyAlignment="1">
      <alignment horizontal="left" vertical="top" wrapText="1"/>
    </xf>
    <xf numFmtId="0" fontId="11" fillId="3" borderId="27" xfId="0" applyFont="1" applyFill="1" applyBorder="1" applyAlignment="1">
      <alignment horizontal="left" vertical="top" wrapText="1"/>
    </xf>
    <xf numFmtId="0" fontId="11" fillId="3" borderId="0" xfId="0" applyFont="1" applyFill="1" applyAlignment="1">
      <alignment horizontal="left" vertical="top" wrapText="1"/>
    </xf>
    <xf numFmtId="0" fontId="11" fillId="3" borderId="28" xfId="0" applyFont="1" applyFill="1" applyBorder="1" applyAlignment="1">
      <alignment horizontal="left" vertical="top" wrapText="1"/>
    </xf>
    <xf numFmtId="0" fontId="11" fillId="3" borderId="31" xfId="0" applyFont="1" applyFill="1" applyBorder="1" applyAlignment="1">
      <alignment horizontal="left" vertical="top" wrapText="1"/>
    </xf>
    <xf numFmtId="0" fontId="11" fillId="3" borderId="32" xfId="0" applyFont="1" applyFill="1" applyBorder="1" applyAlignment="1">
      <alignment horizontal="left" vertical="top" wrapText="1"/>
    </xf>
    <xf numFmtId="0" fontId="11" fillId="3" borderId="33" xfId="0" applyFont="1" applyFill="1" applyBorder="1" applyAlignment="1">
      <alignment horizontal="left" vertical="top" wrapText="1"/>
    </xf>
    <xf numFmtId="0" fontId="11" fillId="3" borderId="26" xfId="0" applyFont="1" applyFill="1" applyBorder="1" applyAlignment="1">
      <alignment horizontal="left" vertical="top" wrapText="1"/>
    </xf>
    <xf numFmtId="0" fontId="11" fillId="3" borderId="29" xfId="0" applyFont="1" applyFill="1" applyBorder="1" applyAlignment="1">
      <alignment horizontal="left" vertical="top" wrapText="1"/>
    </xf>
    <xf numFmtId="0" fontId="11" fillId="3" borderId="34" xfId="0" applyFont="1" applyFill="1" applyBorder="1" applyAlignment="1">
      <alignment horizontal="left" vertical="top"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8" fillId="4" borderId="21"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3"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5" fillId="0" borderId="1" xfId="0" applyFont="1" applyBorder="1" applyAlignment="1">
      <alignment horizontal="center" vertical="center" wrapText="1"/>
    </xf>
  </cellXfs>
  <cellStyles count="2">
    <cellStyle name="Normal" xfId="0" builtinId="0"/>
    <cellStyle name="Normal 2 4 3" xfId="1" xr:uid="{4BA9B719-426D-4367-8409-C69606DFA76B}"/>
  </cellStyles>
  <dxfs count="0"/>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4</xdr:col>
      <xdr:colOff>1009650</xdr:colOff>
      <xdr:row>7</xdr:row>
      <xdr:rowOff>28575</xdr:rowOff>
    </xdr:from>
    <xdr:to>
      <xdr:col>4</xdr:col>
      <xdr:colOff>1295400</xdr:colOff>
      <xdr:row>7</xdr:row>
      <xdr:rowOff>323850</xdr:rowOff>
    </xdr:to>
    <xdr:sp macro="" textlink="">
      <xdr:nvSpPr>
        <xdr:cNvPr id="2" name="Estrella: 5 puntas 1">
          <a:extLst>
            <a:ext uri="{FF2B5EF4-FFF2-40B4-BE49-F238E27FC236}">
              <a16:creationId xmlns:a16="http://schemas.microsoft.com/office/drawing/2014/main" id="{D1FBFD5B-7C05-5F1A-AF1A-C01042DA95A5}"/>
            </a:ext>
          </a:extLst>
        </xdr:cNvPr>
        <xdr:cNvSpPr/>
      </xdr:nvSpPr>
      <xdr:spPr>
        <a:xfrm>
          <a:off x="6334125" y="1895475"/>
          <a:ext cx="285750" cy="2952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9C075-67BB-495E-B123-1CBB7E684A85}">
  <sheetPr codeName="Hoja44">
    <tabColor theme="8"/>
  </sheetPr>
  <dimension ref="B2:O40"/>
  <sheetViews>
    <sheetView tabSelected="1" workbookViewId="0">
      <selection activeCell="C24" sqref="C24:O24"/>
    </sheetView>
  </sheetViews>
  <sheetFormatPr baseColWidth="10" defaultColWidth="10.85546875" defaultRowHeight="15" x14ac:dyDescent="0.25"/>
  <cols>
    <col min="1" max="1" width="5.7109375" style="2" customWidth="1"/>
    <col min="2" max="6" width="24.7109375" style="2" customWidth="1"/>
    <col min="7" max="14" width="12.71093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x14ac:dyDescent="0.25">
      <c r="B2" s="123" t="e" vm="1">
        <v>#VALUE!</v>
      </c>
      <c r="C2" s="124" t="s">
        <v>0</v>
      </c>
      <c r="D2" s="124"/>
      <c r="E2" s="124"/>
      <c r="F2" s="124"/>
      <c r="G2" s="124"/>
      <c r="H2" s="124"/>
      <c r="I2" s="124"/>
      <c r="J2" s="124"/>
      <c r="K2" s="124"/>
      <c r="L2" s="124"/>
      <c r="M2" s="124"/>
      <c r="N2" s="124"/>
      <c r="O2" s="124"/>
    </row>
    <row r="3" spans="2:15" ht="24" customHeight="1" x14ac:dyDescent="0.25">
      <c r="B3" s="123"/>
      <c r="C3" s="125" t="s">
        <v>1</v>
      </c>
      <c r="D3" s="125"/>
      <c r="E3" s="125"/>
      <c r="F3" s="125"/>
      <c r="G3" s="125"/>
      <c r="H3" s="125"/>
      <c r="I3" s="125"/>
      <c r="J3" s="125"/>
      <c r="K3" s="125"/>
      <c r="L3" s="125"/>
      <c r="M3" s="125"/>
      <c r="N3" s="125"/>
      <c r="O3" s="125"/>
    </row>
    <row r="4" spans="2:15" ht="24" customHeight="1" x14ac:dyDescent="0.25">
      <c r="B4" s="123"/>
      <c r="C4" s="125"/>
      <c r="D4" s="125"/>
      <c r="E4" s="125"/>
      <c r="F4" s="125"/>
      <c r="G4" s="125"/>
      <c r="H4" s="125"/>
      <c r="I4" s="125"/>
      <c r="J4" s="125"/>
      <c r="K4" s="125"/>
      <c r="L4" s="125"/>
      <c r="M4" s="125"/>
      <c r="N4" s="125"/>
      <c r="O4" s="125"/>
    </row>
    <row r="5" spans="2:15" ht="20.100000000000001" customHeight="1" x14ac:dyDescent="0.25">
      <c r="B5" s="28" t="s">
        <v>2</v>
      </c>
      <c r="C5" s="1" t="s">
        <v>3</v>
      </c>
      <c r="D5" s="52" t="s">
        <v>4</v>
      </c>
      <c r="E5" s="52"/>
      <c r="F5" s="52"/>
      <c r="G5" s="1">
        <v>1</v>
      </c>
      <c r="H5" s="52" t="s">
        <v>5</v>
      </c>
      <c r="I5" s="52"/>
      <c r="J5" s="52"/>
      <c r="K5" s="51"/>
      <c r="L5" s="51"/>
      <c r="M5" s="52" t="s">
        <v>6</v>
      </c>
      <c r="N5" s="52"/>
      <c r="O5" s="1" t="s">
        <v>7</v>
      </c>
    </row>
    <row r="6" spans="2:15" ht="20.100000000000001" customHeight="1" x14ac:dyDescent="0.25">
      <c r="B6" s="112"/>
      <c r="C6" s="112"/>
      <c r="D6" s="112"/>
      <c r="E6" s="112"/>
      <c r="F6" s="112"/>
      <c r="G6" s="112"/>
      <c r="H6" s="112"/>
      <c r="I6" s="112"/>
      <c r="J6" s="112"/>
      <c r="K6" s="112"/>
      <c r="L6" s="112"/>
      <c r="M6" s="112"/>
      <c r="N6" s="112"/>
      <c r="O6" s="112"/>
    </row>
    <row r="7" spans="2:15" ht="20.100000000000001" customHeight="1" thickBot="1" x14ac:dyDescent="0.3">
      <c r="B7" s="113" t="s">
        <v>8</v>
      </c>
      <c r="C7" s="113"/>
      <c r="D7" s="113"/>
      <c r="E7" s="113"/>
      <c r="F7" s="113"/>
      <c r="G7" s="113"/>
      <c r="H7" s="113"/>
      <c r="I7" s="113"/>
      <c r="J7" s="113"/>
      <c r="K7" s="113"/>
      <c r="L7" s="113"/>
      <c r="M7" s="113"/>
      <c r="N7" s="113"/>
      <c r="O7" s="113"/>
    </row>
    <row r="8" spans="2:15" ht="30" customHeight="1" x14ac:dyDescent="0.25">
      <c r="B8" s="16" t="s">
        <v>9</v>
      </c>
      <c r="C8" s="114" t="s">
        <v>10</v>
      </c>
      <c r="D8" s="115"/>
      <c r="E8" s="115"/>
      <c r="F8" s="116"/>
      <c r="G8" s="20" t="s">
        <v>11</v>
      </c>
      <c r="H8" s="114">
        <v>3</v>
      </c>
      <c r="I8" s="116"/>
      <c r="J8" s="21" t="s">
        <v>12</v>
      </c>
      <c r="K8" s="3">
        <f>H8*16</f>
        <v>48</v>
      </c>
      <c r="L8" s="23" t="s">
        <v>13</v>
      </c>
      <c r="M8" s="3">
        <f>K8*2</f>
        <v>96</v>
      </c>
      <c r="N8" s="20" t="s">
        <v>14</v>
      </c>
      <c r="O8" s="4" t="s">
        <v>15</v>
      </c>
    </row>
    <row r="9" spans="2:15" ht="30" customHeight="1" x14ac:dyDescent="0.25">
      <c r="B9" s="17" t="s">
        <v>16</v>
      </c>
      <c r="C9" s="117" t="s">
        <v>17</v>
      </c>
      <c r="D9" s="118"/>
      <c r="E9" s="118"/>
      <c r="F9" s="118"/>
      <c r="G9" s="118"/>
      <c r="H9" s="118"/>
      <c r="I9" s="119"/>
      <c r="J9" s="22" t="s">
        <v>18</v>
      </c>
      <c r="K9" s="120" t="s">
        <v>19</v>
      </c>
      <c r="L9" s="121"/>
      <c r="M9" s="122"/>
      <c r="N9" s="24" t="s">
        <v>20</v>
      </c>
      <c r="O9" s="5">
        <v>14029220401</v>
      </c>
    </row>
    <row r="10" spans="2:15" ht="30" customHeight="1" thickBot="1" x14ac:dyDescent="0.3">
      <c r="B10" s="18" t="s">
        <v>21</v>
      </c>
      <c r="C10" s="106" t="s">
        <v>22</v>
      </c>
      <c r="D10" s="107"/>
      <c r="E10" s="107"/>
      <c r="F10" s="107"/>
      <c r="G10" s="107"/>
      <c r="H10" s="107"/>
      <c r="I10" s="107"/>
      <c r="J10" s="107"/>
      <c r="K10" s="107"/>
      <c r="L10" s="107"/>
      <c r="M10" s="107"/>
      <c r="N10" s="107"/>
      <c r="O10" s="6"/>
    </row>
    <row r="11" spans="2:15" ht="55.5" customHeight="1" thickBot="1" x14ac:dyDescent="0.3">
      <c r="B11" s="19" t="s">
        <v>23</v>
      </c>
      <c r="C11" s="108" t="s">
        <v>24</v>
      </c>
      <c r="D11" s="108"/>
      <c r="E11" s="108"/>
      <c r="F11" s="108"/>
      <c r="G11" s="108"/>
      <c r="H11" s="108"/>
      <c r="I11" s="108"/>
      <c r="J11" s="108"/>
      <c r="K11" s="108"/>
      <c r="L11" s="108"/>
      <c r="M11" s="108"/>
      <c r="N11" s="108"/>
      <c r="O11" s="109"/>
    </row>
    <row r="12" spans="2:15" ht="30" customHeight="1" x14ac:dyDescent="0.25">
      <c r="B12" s="110" t="s">
        <v>25</v>
      </c>
      <c r="C12" s="85"/>
      <c r="D12" s="83" t="s">
        <v>26</v>
      </c>
      <c r="E12" s="84"/>
      <c r="F12" s="84"/>
      <c r="G12" s="85"/>
      <c r="H12" s="83" t="s">
        <v>27</v>
      </c>
      <c r="I12" s="84"/>
      <c r="J12" s="84"/>
      <c r="K12" s="84" t="s">
        <v>28</v>
      </c>
      <c r="L12" s="84"/>
      <c r="M12" s="85"/>
      <c r="N12" s="83" t="s">
        <v>29</v>
      </c>
      <c r="O12" s="111"/>
    </row>
    <row r="13" spans="2:15" ht="30" customHeight="1" x14ac:dyDescent="0.25">
      <c r="B13" s="90" t="s">
        <v>30</v>
      </c>
      <c r="C13" s="91"/>
      <c r="D13" s="94" t="s">
        <v>31</v>
      </c>
      <c r="E13" s="95"/>
      <c r="F13" s="95"/>
      <c r="G13" s="96"/>
      <c r="H13" s="94" t="s">
        <v>32</v>
      </c>
      <c r="I13" s="95"/>
      <c r="J13" s="95"/>
      <c r="K13" s="95" t="s">
        <v>33</v>
      </c>
      <c r="L13" s="95"/>
      <c r="M13" s="96"/>
      <c r="N13" s="94" t="s">
        <v>33</v>
      </c>
      <c r="O13" s="103"/>
    </row>
    <row r="14" spans="2:15" ht="30" customHeight="1" x14ac:dyDescent="0.25">
      <c r="B14" s="90"/>
      <c r="C14" s="91"/>
      <c r="D14" s="97"/>
      <c r="E14" s="98"/>
      <c r="F14" s="98"/>
      <c r="G14" s="99"/>
      <c r="H14" s="97"/>
      <c r="I14" s="98"/>
      <c r="J14" s="98"/>
      <c r="K14" s="98"/>
      <c r="L14" s="98"/>
      <c r="M14" s="99"/>
      <c r="N14" s="97"/>
      <c r="O14" s="104"/>
    </row>
    <row r="15" spans="2:15" ht="30" customHeight="1" x14ac:dyDescent="0.25">
      <c r="B15" s="90"/>
      <c r="C15" s="91"/>
      <c r="D15" s="97"/>
      <c r="E15" s="98"/>
      <c r="F15" s="98"/>
      <c r="G15" s="99"/>
      <c r="H15" s="97"/>
      <c r="I15" s="98"/>
      <c r="J15" s="98"/>
      <c r="K15" s="98"/>
      <c r="L15" s="98"/>
      <c r="M15" s="99"/>
      <c r="N15" s="97"/>
      <c r="O15" s="104"/>
    </row>
    <row r="16" spans="2:15" ht="30" customHeight="1" x14ac:dyDescent="0.25">
      <c r="B16" s="92"/>
      <c r="C16" s="93"/>
      <c r="D16" s="100"/>
      <c r="E16" s="101"/>
      <c r="F16" s="101"/>
      <c r="G16" s="102"/>
      <c r="H16" s="100"/>
      <c r="I16" s="101"/>
      <c r="J16" s="101"/>
      <c r="K16" s="101"/>
      <c r="L16" s="101"/>
      <c r="M16" s="102"/>
      <c r="N16" s="100"/>
      <c r="O16" s="105"/>
    </row>
    <row r="17" spans="2:15" ht="30" customHeight="1" x14ac:dyDescent="0.25">
      <c r="B17" s="79" t="s">
        <v>34</v>
      </c>
      <c r="C17" s="81" t="s">
        <v>35</v>
      </c>
      <c r="D17" s="83" t="s">
        <v>36</v>
      </c>
      <c r="E17" s="84"/>
      <c r="F17" s="85"/>
      <c r="G17" s="86" t="s">
        <v>37</v>
      </c>
      <c r="H17" s="87"/>
      <c r="I17" s="53" t="s">
        <v>38</v>
      </c>
      <c r="J17" s="57"/>
      <c r="K17" s="53" t="s">
        <v>39</v>
      </c>
      <c r="L17" s="54"/>
      <c r="M17" s="53" t="s">
        <v>40</v>
      </c>
      <c r="N17" s="57"/>
      <c r="O17" s="59" t="s">
        <v>41</v>
      </c>
    </row>
    <row r="18" spans="2:15" ht="15" customHeight="1" thickBot="1" x14ac:dyDescent="0.3">
      <c r="B18" s="80"/>
      <c r="C18" s="82"/>
      <c r="D18" s="27" t="s">
        <v>42</v>
      </c>
      <c r="E18" s="27" t="s">
        <v>43</v>
      </c>
      <c r="F18" s="27" t="s">
        <v>44</v>
      </c>
      <c r="G18" s="88"/>
      <c r="H18" s="89"/>
      <c r="I18" s="55"/>
      <c r="J18" s="58"/>
      <c r="K18" s="55"/>
      <c r="L18" s="56"/>
      <c r="M18" s="55"/>
      <c r="N18" s="58"/>
      <c r="O18" s="60"/>
    </row>
    <row r="19" spans="2:15" ht="105.75" customHeight="1" x14ac:dyDescent="0.25">
      <c r="B19" s="61" t="s">
        <v>45</v>
      </c>
      <c r="C19" s="7" t="s">
        <v>46</v>
      </c>
      <c r="D19" s="8" t="s">
        <v>47</v>
      </c>
      <c r="E19" s="8" t="s">
        <v>48</v>
      </c>
      <c r="F19" s="8" t="s">
        <v>49</v>
      </c>
      <c r="G19" s="63" t="s">
        <v>50</v>
      </c>
      <c r="H19" s="64"/>
      <c r="I19" s="70" t="s">
        <v>51</v>
      </c>
      <c r="J19" s="71"/>
      <c r="K19" s="70" t="s">
        <v>52</v>
      </c>
      <c r="L19" s="71"/>
      <c r="M19" s="70" t="s">
        <v>53</v>
      </c>
      <c r="N19" s="71"/>
      <c r="O19" s="76" t="s">
        <v>54</v>
      </c>
    </row>
    <row r="20" spans="2:15" ht="109.5" customHeight="1" x14ac:dyDescent="0.25">
      <c r="B20" s="61"/>
      <c r="C20" s="9" t="s">
        <v>55</v>
      </c>
      <c r="D20" s="10" t="s">
        <v>56</v>
      </c>
      <c r="E20" s="10" t="s">
        <v>57</v>
      </c>
      <c r="F20" s="10" t="s">
        <v>58</v>
      </c>
      <c r="G20" s="65"/>
      <c r="H20" s="66"/>
      <c r="I20" s="72"/>
      <c r="J20" s="73"/>
      <c r="K20" s="72"/>
      <c r="L20" s="73"/>
      <c r="M20" s="72"/>
      <c r="N20" s="73"/>
      <c r="O20" s="77"/>
    </row>
    <row r="21" spans="2:15" ht="109.5" customHeight="1" thickBot="1" x14ac:dyDescent="0.3">
      <c r="B21" s="61"/>
      <c r="C21" s="11" t="s">
        <v>59</v>
      </c>
      <c r="D21" s="12" t="s">
        <v>60</v>
      </c>
      <c r="E21" s="12" t="s">
        <v>61</v>
      </c>
      <c r="F21" s="12" t="s">
        <v>62</v>
      </c>
      <c r="G21" s="67"/>
      <c r="H21" s="66"/>
      <c r="I21" s="72"/>
      <c r="J21" s="73"/>
      <c r="K21" s="72"/>
      <c r="L21" s="73"/>
      <c r="M21" s="72"/>
      <c r="N21" s="73"/>
      <c r="O21" s="77"/>
    </row>
    <row r="22" spans="2:15" ht="88.5" customHeight="1" thickBot="1" x14ac:dyDescent="0.3">
      <c r="B22" s="62"/>
      <c r="C22" s="11" t="s">
        <v>63</v>
      </c>
      <c r="D22" s="12" t="s">
        <v>64</v>
      </c>
      <c r="E22" s="12" t="s">
        <v>65</v>
      </c>
      <c r="F22" s="12" t="s">
        <v>66</v>
      </c>
      <c r="G22" s="68"/>
      <c r="H22" s="69"/>
      <c r="I22" s="74"/>
      <c r="J22" s="75"/>
      <c r="K22" s="74"/>
      <c r="L22" s="75"/>
      <c r="M22" s="74"/>
      <c r="N22" s="75"/>
      <c r="O22" s="78"/>
    </row>
    <row r="23" spans="2:15" ht="173.25" customHeight="1" x14ac:dyDescent="0.25">
      <c r="B23" s="25" t="s">
        <v>67</v>
      </c>
      <c r="C23" s="39" t="s">
        <v>68</v>
      </c>
      <c r="D23" s="40"/>
      <c r="E23" s="40"/>
      <c r="F23" s="40"/>
      <c r="G23" s="40"/>
      <c r="H23" s="40"/>
      <c r="I23" s="40"/>
      <c r="J23" s="40"/>
      <c r="K23" s="40"/>
      <c r="L23" s="40"/>
      <c r="M23" s="40"/>
      <c r="N23" s="40"/>
      <c r="O23" s="41"/>
    </row>
    <row r="24" spans="2:15" ht="83.25" customHeight="1" thickBot="1" x14ac:dyDescent="0.3">
      <c r="B24" s="26" t="s">
        <v>69</v>
      </c>
      <c r="C24" s="42" t="s">
        <v>70</v>
      </c>
      <c r="D24" s="42"/>
      <c r="E24" s="42"/>
      <c r="F24" s="42"/>
      <c r="G24" s="42"/>
      <c r="H24" s="42"/>
      <c r="I24" s="42"/>
      <c r="J24" s="42"/>
      <c r="K24" s="42"/>
      <c r="L24" s="42"/>
      <c r="M24" s="42"/>
      <c r="N24" s="42"/>
      <c r="O24" s="43"/>
    </row>
    <row r="26" spans="2:15" ht="24.75" customHeight="1" x14ac:dyDescent="0.25">
      <c r="B26" s="44" t="s">
        <v>71</v>
      </c>
      <c r="C26" s="45"/>
      <c r="D26" s="45"/>
      <c r="E26" s="45"/>
      <c r="F26" s="45"/>
      <c r="G26" s="45"/>
      <c r="H26" s="45"/>
      <c r="I26" s="45"/>
      <c r="J26" s="45"/>
      <c r="K26" s="45"/>
      <c r="L26" s="45"/>
      <c r="M26" s="45"/>
      <c r="N26" s="45"/>
      <c r="O26" s="45"/>
    </row>
    <row r="27" spans="2:15" ht="24.75" customHeight="1" x14ac:dyDescent="0.25">
      <c r="B27" s="38" t="s">
        <v>4</v>
      </c>
      <c r="C27" s="38"/>
      <c r="D27" s="46" t="s">
        <v>72</v>
      </c>
      <c r="E27" s="46"/>
      <c r="F27" s="46"/>
      <c r="G27" s="46"/>
      <c r="H27" s="47"/>
      <c r="I27" s="30"/>
      <c r="J27" s="38" t="s">
        <v>73</v>
      </c>
      <c r="K27" s="38"/>
      <c r="L27" s="38"/>
      <c r="M27" s="38"/>
      <c r="N27" s="38"/>
      <c r="O27" s="38"/>
    </row>
    <row r="28" spans="2:15" ht="24.75" customHeight="1" x14ac:dyDescent="0.25">
      <c r="B28" s="38"/>
      <c r="C28" s="38"/>
      <c r="D28" s="30" t="s">
        <v>74</v>
      </c>
      <c r="E28" s="31"/>
      <c r="F28" s="48" t="s">
        <v>75</v>
      </c>
      <c r="G28" s="49"/>
      <c r="H28" s="29" t="s">
        <v>76</v>
      </c>
      <c r="I28" s="29"/>
      <c r="J28" s="38"/>
      <c r="K28" s="38"/>
      <c r="L28" s="38"/>
      <c r="M28" s="38"/>
      <c r="N28" s="38"/>
      <c r="O28" s="38"/>
    </row>
    <row r="29" spans="2:15" ht="24.75" customHeight="1" x14ac:dyDescent="0.25">
      <c r="B29" s="50">
        <v>1</v>
      </c>
      <c r="C29" s="50"/>
      <c r="D29" s="14"/>
      <c r="E29" s="14"/>
      <c r="F29" s="51"/>
      <c r="G29" s="51"/>
      <c r="H29" s="13"/>
      <c r="I29" s="13"/>
      <c r="J29" s="50" t="s">
        <v>77</v>
      </c>
      <c r="K29" s="50"/>
      <c r="L29" s="50"/>
      <c r="M29" s="50"/>
      <c r="N29" s="50"/>
      <c r="O29" s="50"/>
    </row>
    <row r="30" spans="2:15" ht="24.75" customHeight="1" x14ac:dyDescent="0.25">
      <c r="B30" s="15"/>
      <c r="G30" s="15"/>
      <c r="H30" s="15"/>
      <c r="I30" s="15"/>
    </row>
    <row r="31" spans="2:15" ht="24.75" customHeight="1" x14ac:dyDescent="0.25">
      <c r="B31" s="52" t="s">
        <v>78</v>
      </c>
      <c r="C31" s="52"/>
      <c r="D31" s="52"/>
      <c r="E31" s="52"/>
      <c r="F31" s="52"/>
      <c r="G31" s="52"/>
      <c r="H31" s="52"/>
      <c r="I31" s="52"/>
      <c r="J31" s="52"/>
      <c r="K31" s="52"/>
      <c r="L31" s="52"/>
      <c r="M31" s="52"/>
      <c r="N31" s="52"/>
      <c r="O31" s="52"/>
    </row>
    <row r="32" spans="2:15" ht="24.75" customHeight="1" x14ac:dyDescent="0.25">
      <c r="B32" s="52" t="s">
        <v>79</v>
      </c>
      <c r="C32" s="52"/>
      <c r="D32" s="52"/>
      <c r="E32" s="52"/>
      <c r="F32" s="52"/>
      <c r="G32" s="52"/>
      <c r="H32" s="52"/>
      <c r="I32" s="52"/>
      <c r="J32" s="52"/>
      <c r="K32" s="52"/>
      <c r="L32" s="52"/>
      <c r="M32" s="52"/>
      <c r="N32" s="52"/>
      <c r="O32" s="52"/>
    </row>
    <row r="33" spans="2:15" ht="24.75" customHeight="1" x14ac:dyDescent="0.25">
      <c r="B33" s="38" t="s">
        <v>80</v>
      </c>
      <c r="C33" s="38"/>
      <c r="D33" s="38"/>
      <c r="E33" s="38"/>
      <c r="F33" s="38"/>
      <c r="G33" s="38"/>
      <c r="H33" s="38" t="s">
        <v>81</v>
      </c>
      <c r="I33" s="38"/>
      <c r="J33" s="38"/>
      <c r="K33" s="38"/>
      <c r="L33" s="38"/>
      <c r="M33" s="38" t="s">
        <v>82</v>
      </c>
      <c r="N33" s="38"/>
      <c r="O33" s="38"/>
    </row>
    <row r="34" spans="2:15" ht="24.75" customHeight="1" x14ac:dyDescent="0.25">
      <c r="B34" s="32"/>
      <c r="C34" s="32"/>
      <c r="D34" s="32"/>
      <c r="E34" s="32"/>
      <c r="F34" s="32"/>
      <c r="G34" s="32"/>
      <c r="H34" s="32"/>
      <c r="I34" s="32"/>
      <c r="J34" s="32"/>
      <c r="K34" s="32"/>
      <c r="L34" s="32"/>
      <c r="M34" s="32"/>
      <c r="N34" s="32"/>
      <c r="O34" s="32"/>
    </row>
    <row r="35" spans="2:15" ht="24.75" customHeight="1" x14ac:dyDescent="0.25">
      <c r="B35" s="38" t="s">
        <v>83</v>
      </c>
      <c r="C35" s="38"/>
      <c r="D35" s="38"/>
      <c r="E35" s="38"/>
      <c r="F35" s="38"/>
      <c r="G35" s="38"/>
      <c r="H35" s="38"/>
      <c r="I35" s="38"/>
      <c r="J35" s="38"/>
      <c r="K35" s="38"/>
      <c r="L35" s="38"/>
      <c r="M35" s="38"/>
      <c r="N35" s="38"/>
      <c r="O35" s="38"/>
    </row>
    <row r="36" spans="2:15" ht="24.75" customHeight="1" x14ac:dyDescent="0.25">
      <c r="B36" s="38" t="s">
        <v>80</v>
      </c>
      <c r="C36" s="38"/>
      <c r="D36" s="38"/>
      <c r="E36" s="38"/>
      <c r="F36" s="38"/>
      <c r="G36" s="38"/>
      <c r="H36" s="38" t="s">
        <v>81</v>
      </c>
      <c r="I36" s="38"/>
      <c r="J36" s="38"/>
      <c r="K36" s="38"/>
      <c r="L36" s="38"/>
      <c r="M36" s="38" t="s">
        <v>82</v>
      </c>
      <c r="N36" s="38"/>
      <c r="O36" s="38"/>
    </row>
    <row r="37" spans="2:15" ht="24.75" customHeight="1" x14ac:dyDescent="0.25">
      <c r="B37" s="33" t="s">
        <v>84</v>
      </c>
      <c r="C37" s="34"/>
      <c r="D37" s="34"/>
      <c r="E37" s="34"/>
      <c r="F37" s="34"/>
      <c r="G37" s="34"/>
      <c r="H37" s="33" t="s">
        <v>85</v>
      </c>
      <c r="I37" s="34"/>
      <c r="J37" s="34"/>
      <c r="K37" s="34"/>
      <c r="L37" s="34"/>
      <c r="M37" s="35" t="s">
        <v>86</v>
      </c>
      <c r="N37" s="36"/>
      <c r="O37" s="37"/>
    </row>
    <row r="38" spans="2:15" ht="24.75" customHeight="1" x14ac:dyDescent="0.25">
      <c r="B38" s="38" t="s">
        <v>87</v>
      </c>
      <c r="C38" s="38"/>
      <c r="D38" s="38"/>
      <c r="E38" s="38"/>
      <c r="F38" s="38"/>
      <c r="G38" s="38"/>
      <c r="H38" s="38"/>
      <c r="I38" s="38"/>
      <c r="J38" s="38"/>
      <c r="K38" s="38"/>
      <c r="L38" s="38"/>
      <c r="M38" s="38"/>
      <c r="N38" s="38"/>
      <c r="O38" s="38"/>
    </row>
    <row r="39" spans="2:15" ht="24.75" customHeight="1" x14ac:dyDescent="0.25">
      <c r="B39" s="38" t="s">
        <v>80</v>
      </c>
      <c r="C39" s="38"/>
      <c r="D39" s="38"/>
      <c r="E39" s="38"/>
      <c r="F39" s="38"/>
      <c r="G39" s="38"/>
      <c r="H39" s="38" t="s">
        <v>81</v>
      </c>
      <c r="I39" s="38"/>
      <c r="J39" s="38"/>
      <c r="K39" s="38"/>
      <c r="L39" s="38"/>
      <c r="M39" s="38" t="s">
        <v>82</v>
      </c>
      <c r="N39" s="38"/>
      <c r="O39" s="38"/>
    </row>
    <row r="40" spans="2:15" ht="24.75" customHeight="1" x14ac:dyDescent="0.25">
      <c r="B40" s="32"/>
      <c r="C40" s="32"/>
      <c r="D40" s="32"/>
      <c r="E40" s="32"/>
      <c r="F40" s="32"/>
      <c r="G40" s="32"/>
      <c r="H40" s="32"/>
      <c r="I40" s="32"/>
      <c r="J40" s="32"/>
      <c r="K40" s="32"/>
      <c r="L40" s="32"/>
      <c r="M40" s="32"/>
      <c r="N40" s="32"/>
      <c r="O40" s="32"/>
    </row>
  </sheetData>
  <mergeCells count="71">
    <mergeCell ref="B2:B4"/>
    <mergeCell ref="C2:O2"/>
    <mergeCell ref="C3:O4"/>
    <mergeCell ref="D5:F5"/>
    <mergeCell ref="H5:J5"/>
    <mergeCell ref="K5:L5"/>
    <mergeCell ref="M5:N5"/>
    <mergeCell ref="B6:O6"/>
    <mergeCell ref="B7:O7"/>
    <mergeCell ref="C8:F8"/>
    <mergeCell ref="H8:I8"/>
    <mergeCell ref="C9:I9"/>
    <mergeCell ref="K9:M9"/>
    <mergeCell ref="C10:N10"/>
    <mergeCell ref="C11:O11"/>
    <mergeCell ref="B12:C12"/>
    <mergeCell ref="D12:G12"/>
    <mergeCell ref="H12:J12"/>
    <mergeCell ref="K12:M12"/>
    <mergeCell ref="N12:O12"/>
    <mergeCell ref="B13:C16"/>
    <mergeCell ref="D13:G16"/>
    <mergeCell ref="H13:J16"/>
    <mergeCell ref="K13:M16"/>
    <mergeCell ref="N13:O16"/>
    <mergeCell ref="K17:L18"/>
    <mergeCell ref="M17:N18"/>
    <mergeCell ref="O17:O18"/>
    <mergeCell ref="B19:B22"/>
    <mergeCell ref="G19:H22"/>
    <mergeCell ref="I19:J22"/>
    <mergeCell ref="K19:L22"/>
    <mergeCell ref="M19:N22"/>
    <mergeCell ref="O19:O22"/>
    <mergeCell ref="B17:B18"/>
    <mergeCell ref="C17:C18"/>
    <mergeCell ref="D17:F17"/>
    <mergeCell ref="G17:H18"/>
    <mergeCell ref="I17:J18"/>
    <mergeCell ref="B33:G33"/>
    <mergeCell ref="H33:L33"/>
    <mergeCell ref="M33:O33"/>
    <mergeCell ref="C23:O23"/>
    <mergeCell ref="C24:O24"/>
    <mergeCell ref="B26:O26"/>
    <mergeCell ref="B27:C28"/>
    <mergeCell ref="D27:H27"/>
    <mergeCell ref="J27:O28"/>
    <mergeCell ref="F28:G28"/>
    <mergeCell ref="B29:C29"/>
    <mergeCell ref="F29:G29"/>
    <mergeCell ref="J29:O29"/>
    <mergeCell ref="B31:O31"/>
    <mergeCell ref="B32:O32"/>
    <mergeCell ref="B34:G34"/>
    <mergeCell ref="H34:L34"/>
    <mergeCell ref="M34:O34"/>
    <mergeCell ref="B35:O35"/>
    <mergeCell ref="B36:G36"/>
    <mergeCell ref="H36:L36"/>
    <mergeCell ref="M36:O36"/>
    <mergeCell ref="B40:G40"/>
    <mergeCell ref="H40:L40"/>
    <mergeCell ref="M40:O40"/>
    <mergeCell ref="B37:G37"/>
    <mergeCell ref="H37:L37"/>
    <mergeCell ref="M37:O37"/>
    <mergeCell ref="B38:O38"/>
    <mergeCell ref="B39:G39"/>
    <mergeCell ref="H39:L39"/>
    <mergeCell ref="M39:O39"/>
  </mergeCells>
  <pageMargins left="0.7" right="0.7" top="0.75" bottom="0.75" header="0.3" footer="0.3"/>
  <pageSetup scale="3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4Mineria de Datos</vt:lpstr>
      <vt:lpstr>'4Mineria de Datos'!Área_de_impresión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2024-07-26T02:49:32Z</dcterms:created>
  <dcterms:modified xsi:type="dcterms:W3CDTF">2025-07-03T16:40:27Z</dcterms:modified>
  <cp:category/>
  <cp:contentStatus/>
</cp:coreProperties>
</file>