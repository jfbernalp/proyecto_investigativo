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https://unicafamnet-my.sharepoint.com/personal/fulbia_ceron_unicafam_edu_co/Documents/Desktop/Tecnología_Analisis_Gestion_Datos/"/>
    </mc:Choice>
  </mc:AlternateContent>
  <xr:revisionPtr revIDLastSave="55" documentId="8_{4A3084C5-B475-423E-BF74-D3CC9727C2CF}" xr6:coauthVersionLast="47" xr6:coauthVersionMax="47" xr10:uidLastSave="{DF9708A6-4338-45B5-B528-12F71717785D}"/>
  <bookViews>
    <workbookView xWindow="28680" yWindow="-120" windowWidth="20730" windowHeight="11040" tabRatio="973" xr2:uid="{5215262C-71F8-4050-9223-2AC67CBDAC40}"/>
  </bookViews>
  <sheets>
    <sheet name="Seguridad de la Informacion" sheetId="7" r:id="rId1"/>
  </sheets>
  <externalReferences>
    <externalReference r:id="rId2"/>
    <externalReference r:id="rId3"/>
    <externalReference r:id="rId4"/>
    <externalReference r:id="rId5"/>
    <externalReference r:id="rId6"/>
  </externalReferences>
  <definedNames>
    <definedName name="_xlnm.Print_Area" localSheetId="0">'Seguridad de la Informacion'!$B$2:$O$45</definedName>
    <definedName name="Competencias">[1]MaestroCompetencias!$B$2:$B$11</definedName>
    <definedName name="CRÉDITOS">'[2]Códigos '!$AK$70:$AK$74</definedName>
    <definedName name="DatosCompleto">[3]MaestroUA!$B$2:$M$89</definedName>
    <definedName name="ingenieria">#REF!</definedName>
    <definedName name="RedacciónRecurso">[4]MaestroRecursos!$B$2:$B$102</definedName>
    <definedName name="ResultadoAprendizaje">[1]MaestroResultadosA!$B$2:$B$12</definedName>
    <definedName name="Semestre">[5]asdf!$A$13:$A$20</definedName>
    <definedName name="TIPOLOGÍA">'[2]Códigos '!$AJ$70:$AJ$72</definedName>
    <definedName name="UnidadAcademica">[3]MaestroUA!$B$2:$B$89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7" l="1"/>
  <c r="M8" i="7"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<sst xmlns="http://schemas.openxmlformats.org/spreadsheetml/2006/main" count="91" uniqueCount="83">
  <si>
    <t>FUNDACIÓN UNIVERSITARIA CAFAM</t>
  </si>
  <si>
    <t xml:space="preserve">MACROPROCESO MISIONAL
DOCENCIA
UNIDAD DE APRENDIZAJE </t>
  </si>
  <si>
    <t>CÓDIGO</t>
  </si>
  <si>
    <t>MIDOFO05</t>
  </si>
  <si>
    <t>VERSIÓN</t>
  </si>
  <si>
    <t>VIGENCIA</t>
  </si>
  <si>
    <t>PÁGINA</t>
  </si>
  <si>
    <t>1 de 1</t>
  </si>
  <si>
    <t xml:space="preserve">UNIDAD DE APRENDIZAJE </t>
  </si>
  <si>
    <t>NOMBRE UNIDAD DE APRENDIZAJE:</t>
  </si>
  <si>
    <t>SEGURIDAD DE LA INFORMACIÓN</t>
  </si>
  <si>
    <t>N° Créditos:</t>
  </si>
  <si>
    <t>TFD:</t>
  </si>
  <si>
    <t>TTI:</t>
  </si>
  <si>
    <t>MODALIDAD:</t>
  </si>
  <si>
    <t>Presencial</t>
  </si>
  <si>
    <t>PROGRAMA:</t>
  </si>
  <si>
    <t xml:space="preserve">Tecnología en Análisis y gestión de Datos </t>
  </si>
  <si>
    <t>SEMESTRE:</t>
  </si>
  <si>
    <t>IV</t>
  </si>
  <si>
    <t>CÓDIGO:</t>
  </si>
  <si>
    <t>ÁREA DE FORMACIÓN:</t>
  </si>
  <si>
    <t>Específica</t>
  </si>
  <si>
    <t>JUSTIFICACIÓN:</t>
  </si>
  <si>
    <t>La UA Seguridad de la Información no solo es relevante sino esencial en un programa de Ingeniería de Telecomunicaciones por que le proporcionará a los estudiantes las herramientas y conocimientos necesarios para enfrentar y mitigar los riesgos de seguridad en un mundo cada vez más digital y conectado y que adicionalmente, debe ser preventivo y resiliente frente a las diversas amenazas que se pueden generar en los sistemas de telecomunicaciones producto de las vulnerabilidades que se pueden presentar en los activo de red vitales para el tratamiento de la información.</t>
  </si>
  <si>
    <t xml:space="preserve">COMPETENCIA </t>
  </si>
  <si>
    <t>SABERES ESPECÍFICOS
(saber)</t>
  </si>
  <si>
    <t xml:space="preserve">HABILIDADES O DESTREZAS 
(saber hacer) </t>
  </si>
  <si>
    <t xml:space="preserve">ACTITUDES 
(saber ser) </t>
  </si>
  <si>
    <t xml:space="preserve">APRENDER A APRENDER </t>
  </si>
  <si>
    <t>Garantizar la calidad de la cadena del dato para asegurar su confiabilidad e integridad.</t>
  </si>
  <si>
    <r>
      <rPr>
        <b/>
        <sz val="11"/>
        <rFont val="Calibri"/>
        <family val="2"/>
        <scheme val="minor"/>
      </rPr>
      <t>1. Introducción a la Seguridad de la Información.</t>
    </r>
    <r>
      <rPr>
        <sz val="11"/>
        <rFont val="Calibri"/>
        <family val="2"/>
        <scheme val="minor"/>
      </rPr>
      <t xml:space="preserve">
1.1. Definición y propósito de la seguridad de la información.
1.2. Definición y propósito de la seguridad informática.
1.3. Términos y definiciones de acuerdo al estándar ISO/IEC 27001:2022.
1.4. Ataques, amenazas y vulnerabilidades.
1.5. Vectores de ataque, generalidades, tipos y metodologías aplicables a vectores de ataque.
1.6. Delitos Informáticos y aspectos Jurídicos Relacionados.
</t>
    </r>
    <r>
      <rPr>
        <b/>
        <sz val="11"/>
        <rFont val="Calibri"/>
        <family val="2"/>
        <scheme val="minor"/>
      </rPr>
      <t>2. Fundamentos del Estándar NTC ISO/IEC 27001:2022.</t>
    </r>
    <r>
      <rPr>
        <sz val="11"/>
        <rFont val="Calibri"/>
        <family val="2"/>
        <scheme val="minor"/>
      </rPr>
      <t xml:space="preserve">
2.1. Generalidades del estándar.
2.2. Contexto de la organización.
2.3. Liderazgo.
2.4. Planificación.
2.5. Apoyo.
2.6. Operación.
2.7. Evaluación de desempeño.
2.8. Mejora continua.
</t>
    </r>
    <r>
      <rPr>
        <b/>
        <sz val="11"/>
        <rFont val="Calibri"/>
        <family val="2"/>
        <scheme val="minor"/>
      </rPr>
      <t>3. Estándar ISO/IEC 27002:2022.</t>
    </r>
    <r>
      <rPr>
        <sz val="11"/>
        <rFont val="Calibri"/>
        <family val="2"/>
        <scheme val="minor"/>
      </rPr>
      <t xml:space="preserve">
3.1. Estructura ISO/IEC 27002:2013 vs ISO/IEC 27002:2022.
3.2. Análisis Anexo A - ISO/IEC 27002:2013. 
3.3. Análisis Anexo A - ISO/IEC 27002:2022.
</t>
    </r>
    <r>
      <rPr>
        <b/>
        <sz val="11"/>
        <rFont val="Calibri"/>
        <family val="2"/>
        <scheme val="minor"/>
      </rPr>
      <t>4. Valoración del riesgo.</t>
    </r>
    <r>
      <rPr>
        <sz val="11"/>
        <rFont val="Calibri"/>
        <family val="2"/>
        <scheme val="minor"/>
      </rPr>
      <t xml:space="preserve">
4.1. Estándar NTC ISO/IEC 31000:2018
4.2. Metodología Magerit (análisis de los riesgos).
4.3. Identificación de riesgos.
4.4. Análisis y evaluación de riesgos.
4.5. Practica: Seguridad en redes – Ataques en capa 2.
</t>
    </r>
    <r>
      <rPr>
        <b/>
        <sz val="11"/>
        <rFont val="Calibri"/>
        <family val="2"/>
        <scheme val="minor"/>
      </rPr>
      <t>5. Modelo de Administración de Riesgos (MAR).</t>
    </r>
    <r>
      <rPr>
        <sz val="11"/>
        <rFont val="Calibri"/>
        <family val="2"/>
        <scheme val="minor"/>
      </rPr>
      <t xml:space="preserve">
5.1. Concepto de Modelo de MAR.
5.2. Objetivos de un MAR.
5.3. Estructura de un MAR.
5.4. Práctica: Seguridad en redes – Mitigar riesgos en capa 2. 
5.5. Caso de Estudio: Elaborar un Modelo de Administración de Riegos.</t>
    </r>
  </si>
  <si>
    <t xml:space="preserve">1. Capacidad para identificar y evaluar posibles amenazas y vulnerabilidades en redes y sistemas de telecomunicaciones.
2. Habilidad para diseñar e implementar medidas de seguridad adecuadas en la capa de acceso de las redes SOHO. 
3. Habilidad para realizar analisis de GAP y asegurar que las políticas y procedimientos cumplen con las normativas y estándares de seguridad relevantes .
4. Capacidad para diseñar análisis  de riesgos con base a las normas, estanadres y metodologias vigentes.
</t>
  </si>
  <si>
    <t>1. Desarrollo de una mentalidad proactiva y consciente de la importancia de la seguridad en todas las actividades relacionadas con la información y las telecomunicaciones
2. Compromiso con prácticas éticas y responsables en el manejo de información sensible, reconociendo la importancia de proteger la privacidad y la integridad de los datos.
3. Fomento de una actitud curiosa y abierta al aprendizaje continuo, buscando siempre nuevas formas de mejorar la seguridad y mantenerse al día con las tendencias y tecnologías en el campo.
4. Capacidad para adaptarse a nuevas amenazas y desafíos de seguridad, mostrando resiliencia frente a incidentes y capacidad para recuperar y aprender de los errores</t>
  </si>
  <si>
    <t>1. Gestionar su propio proceso de aprendizaje, identificando sus necesidades y estableciendo metas claras para mejorar continuamente sus conocimientos y habilidades en seguridad de la información.
2. Buscar, evaluar y utilizar información relevante y actualizada sobre amenazas, vulnerabilidades y soluciones de seguridad a través de diversas fuentes, incluyendo literatura académica, informes técnicos y recursos en línea.
3. Analizar de manera crítica las situaciones y problemas de seguridad, evaluar diferentes enfoques y soluciones, y tomar decisiones informadas basadas en evidencia y razonamiento lógico.
4. Desarrollo de la capacidad para adaptarse a nuevas tecnologías, metodologías y amenazas de seguridad, demostrando flexibilidad y disposición para aprender y aplicar nuevos conceptos y técnicas.</t>
  </si>
  <si>
    <t xml:space="preserve">RESULTADO DE APREDIZAJE DEL PROGRAMA </t>
  </si>
  <si>
    <t xml:space="preserve">RESULTADOS DE APRENDIZAJE DE LA UNIDAD DE APZ </t>
  </si>
  <si>
    <t xml:space="preserve">CRITERIOS DE EVALUACIÓN </t>
  </si>
  <si>
    <t xml:space="preserve">ESTRATEGIAS DE EVALUACIÓN </t>
  </si>
  <si>
    <t>EVIDENCIAS DE CONOCIMIENTO</t>
  </si>
  <si>
    <t>EVIDENCIAS DE DESEMPEÑO</t>
  </si>
  <si>
    <t>EVIDENCIAS DE PRODUCTO</t>
  </si>
  <si>
    <t xml:space="preserve">METODOLOGIA:  ACTIVIDADES Y  ESTRATEGIAS  </t>
  </si>
  <si>
    <t xml:space="preserve">Nivel  Alto </t>
  </si>
  <si>
    <t xml:space="preserve">Nivel Medio </t>
  </si>
  <si>
    <t>Nivel bajo</t>
  </si>
  <si>
    <t>Evalúa la calidad de los datos para garantizar su integridad</t>
  </si>
  <si>
    <t>Explica los conceptos básicos, las amenazas y vulnerabilidades asociadas a la seguridad de la información y seguridad informática</t>
  </si>
  <si>
    <t>Explica de manera clara y detallada los conceptos básicos de seguridad de la información y seguridad informática, mostrando un entendimiento profundo de ellos y señalando además los tipos de ataques, amenazas y vulnerabilidades que se pueden presentar en una red LAN de característica SOHO.</t>
  </si>
  <si>
    <t>Explica los conceptos básicos de seguridad de la información y seguridad informática de manera poco adecuada y detallada, así como presenta limitaciones para determinar de forma puntual las vulnerabilidades y las amenazas que producen incidentes en una red de área local de característica SOHO</t>
  </si>
  <si>
    <t>Explica los conceptos básicos de seguridad de la información y seguridad informática de manera incorrecta, con un conocimiento limitado de las amenazas, vulnerabilidades y presenta dificultades para identificarlas o describirlas adecuadamente.</t>
  </si>
  <si>
    <t xml:space="preserve">
Método de Caso
Aprendizaje Basado en Problema.
Aprendizaje Basado en Proyecto.</t>
  </si>
  <si>
    <t>Para evaluar el conocimiento adquirido en el desarrollo del caso, problema o proyecto, se utilizará una rúbrica como herramienta principal de evaluación. Esta rúbrica considerará aspectos como:
A) Claridad y precisión en la presentación de la información.
B)Profundidad del análisis
 C) Aplicación práctica de los conocimientos previos y adquiridos en el desarrollo de la Unidad de Aprendizaje
D) La transferencia de conocimientos adquiridos a lo largo de las las fases del problema, proyecto o caso 
E)  Calidad y pertinencia de las fuentes consultadas.</t>
  </si>
  <si>
    <t>Con la rúbrica como herramienta de evaluación del desempeño se evidenciará:
A.) Responsabilidad
B.) Debate de ideas
C.) Diseño de planes y/o experimentos
D.) Recolección y análisis de datos
E.) Manejo de recursos disponibles, como el tiempo, los materiales y equipos
F.) Trabajo colaborativo
H.) Capacidad de planificación, ejecución y evaluación
I.) Autonomía
J.) Habilidades metacognitivas, como autodirección y autoevaluación
K.) Habilidades tecnológicas
L.) Integración de conceptos y conocimientos previos</t>
  </si>
  <si>
    <t>Utilizando la rúbrica como herramienta de evaluación, se evidenciará el seguimiento progresivo y el cumplimiento gradual de los objetivos planteados en el caso, problema o proyecto en los entregables. a travez de:
Productos Tangibles:
Prototipos, modelos, artefactos físicos o digitales desarrollados como resultado del proyecto.
Informes, documentos técnicos, manuales o presentaciones que documentan el proceso y los resultados del proyecto.
Presentaciones o Demostraciones:
Exposiciones públicas, presentaciones orales o demostraciones ante compañeros, profesores o evaluadores externos.
Defensa de resultados ante un panel de expertos.
Portafolios:
Recopilación de trabajos, diseños, análisis, investigaciones y reflexiones relacionadas con el proyecto.
Puede incluir evidencia de la planificación, el proceso de ejecución, los resultados obtenidos y las lecciones aprendidas.
Entregables Finales:
Documentos finales que resumen los hallazgos, conclusiones y recomendaciones del proyecto.
Productos finales que cumplen con los objetivos y criterios establecidos al inicio del proyecto.
Impacto o Aplicación Práctica:
Pruebas de concepto, implementaciones piloto o evidencia de la aplicación práctica de los resultados del proyecto en situaciones reales.</t>
  </si>
  <si>
    <r>
      <rPr>
        <sz val="11"/>
        <color rgb="FF000000"/>
        <rFont val="Calibri"/>
        <family val="2"/>
        <scheme val="minor"/>
      </rPr>
      <t>Se establecen las siguientes fases para las actividades de aprendizaje:</t>
    </r>
    <r>
      <rPr>
        <b/>
        <sz val="11"/>
        <color rgb="FF000000"/>
        <rFont val="Calibri"/>
        <family val="2"/>
        <scheme val="minor"/>
      </rPr>
      <t xml:space="preserve">
Método de Caso
</t>
    </r>
    <r>
      <rPr>
        <sz val="11"/>
        <color rgb="FF000000"/>
        <rFont val="Calibri"/>
        <family val="2"/>
        <scheme val="minor"/>
      </rPr>
      <t xml:space="preserve">1. Leer y analizar el caso. Identificación y presentación de las alternativas. En esta fase intervienen claramente la imaginación creadora, para la búsqueda de alternativas.
2. Valoración comparación y evaluación de alternativas. Se hace una evaluación de las tesis y una confrontación de los diferentes puntos de vista.
3. Selección de la mejor alternativa. En esta fase no necesariamente se debe llegar a una decisión final.
</t>
    </r>
    <r>
      <rPr>
        <b/>
        <sz val="11"/>
        <color rgb="FF000000"/>
        <rFont val="Calibri"/>
        <family val="2"/>
        <scheme val="minor"/>
      </rPr>
      <t xml:space="preserve">
Aprendizaje Basado en Problemas. 
</t>
    </r>
    <r>
      <rPr>
        <sz val="11"/>
        <color rgb="FF000000"/>
        <rFont val="Calibri"/>
        <family val="2"/>
        <scheme val="minor"/>
      </rPr>
      <t xml:space="preserve">1. Leer y analizar el escenario o situación problema.
2. Identificar los objetivos de aprendizaje.
3. Identificar el conocimiento necesario previo y, reconocer saberes que requieren mayor profundización para lograr su solución.
4. Elaborar un esquema o representación que le permita comprender el problema.
5. Elaborar un diagnóstico que le permita una aproximación a la solución del problema.
6. Elaborar un plan de trabajo para abordar el problema.
7. Recopilar información sobre el problema.
8. Analizar la información recogida
9. Plantear los posibles resultados y evaluar su capacidad para abordar el problema
10. Desarrollar procesos de retroalimentación que lo lleven a verificar la solución del problema o nuevas hipótesis 
11. Reflexionar sobre el desempeño individual y grupal durante el desarrollo de la actividad.
</t>
    </r>
    <r>
      <rPr>
        <b/>
        <sz val="11"/>
        <color rgb="FF000000"/>
        <rFont val="Calibri"/>
        <family val="2"/>
        <scheme val="minor"/>
      </rPr>
      <t xml:space="preserve">
Aprendizaje Basado en Proyectos
</t>
    </r>
    <r>
      <rPr>
        <sz val="11"/>
        <color rgb="FF000000"/>
        <rFont val="Calibri"/>
        <family val="2"/>
        <scheme val="minor"/>
      </rPr>
      <t>Fase 0: 
Presentación, lineamientos del Proyecto e indicaciones básicas procedimentales del proyecto
Fase 1:
1.1. Planeación: Plan de trabajo del equipo
1.2. Investigación: Plantear objetivos, buscar información y realizar experimentos/laboratorios.
1.3. Consulta: contactar otros profesores y buscar soporte técnico.
1.4. Entregable Fase 1
Fase 2:
2.1. Diseño y Simulaciones
2.2. Integración - Construcción
2.3. Pruebas
2.4. Entregable Fase 2
Fase 3:
3.1. Revisión y correción de fallas o errores
3.2. Presentación 
3.3. Demostración
3.4. Entregable Final: Informe final del Proyecto</t>
    </r>
  </si>
  <si>
    <t xml:space="preserve">Aplica estrategias y mecanismos que permitan mitigar riegos en capa 2 en la seguridad en redes de acuerdo con los estándares vigentes </t>
  </si>
  <si>
    <t>Analiza críticamente las amenazas y vulnerabilidades, proporcionando ejemplos específicos proponiendo soluciones y medidas de mitigación avanzadas basadas en un análisis profundo de las vulnerabilidades para contrarrestar las amenazas.</t>
  </si>
  <si>
    <t>Analiza de forma general las amenazas y vulnerabilidades proporcionando ejemplos superficiales y con poca profundida  en las medidas de mitigación independiente de realizar un analisis aceptable.</t>
  </si>
  <si>
    <t>Realiza un análisis incorrecto de las amenazas y vulnerabilidades, proporcionando ejemplos inadecuados o irrelevantes y proponiendo además medidas de mitigación poco acertivas para cerrar las vulenerabilidades en las redes SOHO en su capa 2.</t>
  </si>
  <si>
    <t xml:space="preserve">RECURSOS DE APOYO </t>
  </si>
  <si>
    <t>Aula virtual
Software https://www.python.org
Software https://www.mathworks.com/products/matlab.html
Software GeoGebra License; Non-commercial freeware; portions under General Public License (GPL).Wolfram alpha recursos gratuitos 
Sala móvil de equipos pórtatiles
Microsoft 365, incluye Microsoft Office (Word, Excel, PowerPoint, Publisher, Access, Power BI, OneNote, Outlook, Project y Visio), Licencia Universitaria.
Enginnering plus (gale)
Science infomation (gale)
Computer Science (gale)
E-Collection (ISO) (iCONTEC)</t>
  </si>
  <si>
    <t xml:space="preserve">BIBLIOGRAFÍA  </t>
  </si>
  <si>
    <t>1. AREITIO BERTOLIN, J. (2008). Seguridad de la información. Redes, informática y sistemas de información. España: Ediciones Paraninfo, S.A.
2. Gómez Vieites, Á. (2011). Enciclopedia de la Seguridad Informática. 2ª edición. España: Grupo Editorial RA-MA.
3. Auditoría de Seguridad Informática (MF0487_3). (n.d.). (n.p.): Grupo Editorial RA-MA.
4. Vega Briceño, E. (2021). Seguridad de la información. España: 3Ciencias.</t>
  </si>
  <si>
    <t>CONTROL DE CAMBIOS</t>
  </si>
  <si>
    <t>FECHA DE APROBACIÓN</t>
  </si>
  <si>
    <t>DESCRIPCIÓN DEL CAMBIO</t>
  </si>
  <si>
    <t>DD</t>
  </si>
  <si>
    <t>MM</t>
  </si>
  <si>
    <t>AAAA</t>
  </si>
  <si>
    <t>Los cambios que se proponen en los sabaeres especificos es por: 
1. Actualización de acuerdo con los avances tecnologicos que se están presentando en la actualidad y sus tendencias.
2. Para que haya secuencia entre las UA y su predecesora  en la continuidad de los temas y sutemas a desarrollar.</t>
  </si>
  <si>
    <t>CONTROL DE DOCUMENTOS</t>
  </si>
  <si>
    <t>ELABORO</t>
  </si>
  <si>
    <t>NOMBRES Y APELLIDOS</t>
  </si>
  <si>
    <t>CARGO</t>
  </si>
  <si>
    <t>FIRMA</t>
  </si>
  <si>
    <t>Iván Méndez Alvarado</t>
  </si>
  <si>
    <t>Profesor de Medio Tiempo.</t>
  </si>
  <si>
    <t>REVISO</t>
  </si>
  <si>
    <t>Miller Alexander Quiroga Campos</t>
  </si>
  <si>
    <t>Profesor de Ciencia de Datos y TAGD</t>
  </si>
  <si>
    <t>Miller A. Quiroga Campos</t>
  </si>
  <si>
    <t>APROBÓ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</si>
</sst>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b/>
      <sz val="11"/>
      <name val="Calibri"/>
      <family val="2"/>
      <scheme val="minor"/>
    </font>
    <font>
      <sz val="11"/>
      <color rgb="FF000000"/>
      <name val="Verdana"/>
      <family val="2"/>
    </font>
    <font>
      <b/>
      <sz val="11"/>
      <color rgb="FFFFFFFF"/>
      <name val="Verdana"/>
      <family val="2"/>
    </font>
    <font>
      <b/>
      <sz val="11"/>
      <color rgb="FF000000"/>
      <name val="Verdana"/>
      <family val="2"/>
    </font>
    <font>
      <b/>
      <sz val="11"/>
      <color theme="0"/>
      <name val="Verdana"/>
      <family val="2"/>
    </font>
    <font>
      <sz val="11"/>
      <color theme="1"/>
      <name val="Verdana"/>
      <family val="2"/>
    </font>
    <font>
      <sz val="16"/>
      <color theme="1"/>
      <name val="Vladimir Script"/>
      <family val="4"/>
    </font>
  </fonts>
  <fills count="8">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8" tint="-0.499984740745262"/>
        <bgColor rgb="FF000000"/>
      </patternFill>
    </fill>
    <fill>
      <patternFill patternType="solid">
        <fgColor theme="0" tint="-0.249977111117893"/>
        <bgColor indexed="64"/>
      </patternFill>
    </fill>
    <fill>
      <patternFill patternType="solid">
        <fgColor theme="8" tint="-0.499984740745262"/>
        <bgColor indexed="64"/>
      </patternFill>
    </fill>
    <fill>
      <patternFill patternType="solid">
        <fgColor rgb="FFFFFFFF"/>
        <bgColor rgb="FF000000"/>
      </patternFill>
    </fill>
  </fills>
  <borders count="5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auto="1"/>
      </left>
      <right style="medium">
        <color auto="1"/>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rgb="FF000000"/>
      </left>
      <right style="thin">
        <color rgb="FF000000"/>
      </right>
      <top style="medium">
        <color indexed="64"/>
      </top>
      <bottom style="thin">
        <color rgb="FF000000"/>
      </bottom>
      <diagonal/>
    </border>
    <border>
      <left/>
      <right/>
      <top style="medium">
        <color indexed="64"/>
      </top>
      <bottom style="thin">
        <color auto="1"/>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medium">
        <color indexed="64"/>
      </right>
      <top/>
      <bottom/>
      <diagonal/>
    </border>
    <border>
      <left/>
      <right/>
      <top/>
      <bottom style="medium">
        <color indexed="64"/>
      </bottom>
      <diagonal/>
    </border>
    <border>
      <left style="thin">
        <color auto="1"/>
      </left>
      <right style="thin">
        <color auto="1"/>
      </right>
      <top/>
      <bottom style="thin">
        <color auto="1"/>
      </bottom>
      <diagonal/>
    </border>
    <border>
      <left style="thin">
        <color auto="1"/>
      </left>
      <right style="medium">
        <color indexed="64"/>
      </right>
      <top/>
      <bottom style="medium">
        <color indexed="64"/>
      </bottom>
      <diagonal/>
    </border>
    <border>
      <left style="medium">
        <color indexed="64"/>
      </left>
      <right/>
      <top/>
      <bottom style="thin">
        <color indexed="64"/>
      </bottom>
      <diagonal/>
    </border>
    <border>
      <left/>
      <right style="thin">
        <color auto="1"/>
      </right>
      <top/>
      <bottom style="thin">
        <color auto="1"/>
      </bottom>
      <diagonal/>
    </border>
    <border>
      <left style="medium">
        <color indexed="64"/>
      </left>
      <right/>
      <top/>
      <bottom/>
      <diagonal/>
    </border>
    <border>
      <left style="thin">
        <color auto="1"/>
      </left>
      <right/>
      <top/>
      <bottom style="thin">
        <color auto="1"/>
      </bottom>
      <diagonal/>
    </border>
    <border>
      <left/>
      <right/>
      <top/>
      <bottom style="thin">
        <color indexed="64"/>
      </bottom>
      <diagonal/>
    </border>
    <border>
      <left/>
      <right/>
      <top style="medium">
        <color indexed="64"/>
      </top>
      <bottom/>
      <diagonal/>
    </border>
    <border>
      <left style="medium">
        <color rgb="FF000000"/>
      </left>
      <right/>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bottom style="medium">
        <color rgb="FF000000"/>
      </bottom>
      <diagonal/>
    </border>
    <border>
      <left/>
      <right/>
      <top/>
      <bottom style="medium">
        <color rgb="FF000000"/>
      </bottom>
      <diagonal/>
    </border>
    <border>
      <left style="medium">
        <color auto="1"/>
      </left>
      <right/>
      <top/>
      <bottom style="medium">
        <color rgb="FF000000"/>
      </bottom>
      <diagonal/>
    </border>
    <border>
      <left/>
      <right style="medium">
        <color auto="1"/>
      </right>
      <top/>
      <bottom style="medium">
        <color rgb="FF000000"/>
      </bottom>
      <diagonal/>
    </border>
  </borders>
  <cellStyleXfs count="5">
    <xf numFmtId="0" fontId="0" fillId="0" borderId="0"/>
    <xf numFmtId="0" fontId="1" fillId="0" borderId="0"/>
    <xf numFmtId="0" fontId="1" fillId="0" borderId="0"/>
    <xf numFmtId="0" fontId="1" fillId="0" borderId="0"/>
    <xf numFmtId="0" fontId="1" fillId="0" borderId="0"/>
  </cellStyleXfs>
  <cellXfs count="129">
    <xf numFmtId="0" fontId="0" fillId="0" borderId="0" xfId="0"/>
    <xf numFmtId="0" fontId="8" fillId="2" borderId="21" xfId="1" applyFont="1" applyFill="1" applyBorder="1" applyAlignment="1">
      <alignment horizontal="center" vertical="center" wrapText="1"/>
    </xf>
    <xf numFmtId="0" fontId="9" fillId="0" borderId="10" xfId="0" applyFont="1" applyBorder="1" applyAlignment="1">
      <alignment horizontal="center" vertical="center" wrapText="1"/>
    </xf>
    <xf numFmtId="0" fontId="10" fillId="4" borderId="10" xfId="0" applyFont="1" applyFill="1" applyBorder="1" applyAlignment="1">
      <alignment horizontal="center" vertical="center" wrapText="1"/>
    </xf>
    <xf numFmtId="0" fontId="0" fillId="5" borderId="0" xfId="0" applyFill="1"/>
    <xf numFmtId="0" fontId="6" fillId="2" borderId="1"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2" xfId="0" applyFont="1" applyFill="1" applyBorder="1" applyAlignment="1">
      <alignment horizontal="center" vertical="center" wrapText="1"/>
    </xf>
    <xf numFmtId="0" fontId="6" fillId="2" borderId="6" xfId="0" applyFont="1" applyFill="1" applyBorder="1" applyAlignment="1">
      <alignment horizontal="left" vertical="center" wrapText="1"/>
    </xf>
    <xf numFmtId="0" fontId="6" fillId="2" borderId="10" xfId="0" applyFont="1" applyFill="1" applyBorder="1" applyAlignment="1">
      <alignment horizontal="center" vertical="center" wrapText="1"/>
    </xf>
    <xf numFmtId="0" fontId="6" fillId="2" borderId="10"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6" fillId="2" borderId="26"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0" fontId="5" fillId="0" borderId="0" xfId="0" applyFont="1" applyAlignment="1">
      <alignment horizontal="center" vertical="center" wrapText="1"/>
    </xf>
    <xf numFmtId="0" fontId="0" fillId="0" borderId="36" xfId="0" applyBorder="1"/>
    <xf numFmtId="0" fontId="5" fillId="0" borderId="42" xfId="0" applyFont="1" applyBorder="1" applyAlignment="1">
      <alignment horizontal="left" vertical="center" wrapText="1"/>
    </xf>
    <xf numFmtId="0" fontId="5" fillId="0" borderId="35" xfId="0" applyFont="1" applyBorder="1" applyAlignment="1">
      <alignment horizontal="left" vertical="center" wrapText="1"/>
    </xf>
    <xf numFmtId="0" fontId="12" fillId="6" borderId="10" xfId="0" applyFont="1" applyFill="1" applyBorder="1" applyAlignment="1" applyProtection="1">
      <alignment horizontal="center" vertical="center" wrapText="1"/>
      <protection hidden="1"/>
    </xf>
    <xf numFmtId="0" fontId="13" fillId="0" borderId="10" xfId="0" applyFont="1" applyBorder="1" applyAlignment="1" applyProtection="1">
      <alignment horizontal="center" vertical="center" wrapText="1"/>
      <protection hidden="1"/>
    </xf>
    <xf numFmtId="0" fontId="13" fillId="5" borderId="0" xfId="0" applyFont="1" applyFill="1" applyAlignment="1">
      <alignment horizontal="center" vertical="center"/>
    </xf>
    <xf numFmtId="0" fontId="8" fillId="3" borderId="25" xfId="0" applyFont="1" applyFill="1" applyBorder="1" applyAlignment="1">
      <alignment vertical="center" wrapText="1"/>
    </xf>
    <xf numFmtId="0" fontId="7" fillId="0" borderId="11" xfId="0" applyFont="1" applyBorder="1" applyAlignment="1">
      <alignment horizontal="left" vertical="center" wrapText="1"/>
    </xf>
    <xf numFmtId="0" fontId="5" fillId="0" borderId="2" xfId="0" applyFont="1" applyBorder="1" applyAlignment="1">
      <alignment horizontal="center" vertical="center" wrapText="1"/>
    </xf>
    <xf numFmtId="0" fontId="0" fillId="3" borderId="10" xfId="0" applyFill="1" applyBorder="1"/>
    <xf numFmtId="0" fontId="7" fillId="0" borderId="5" xfId="1" applyFont="1" applyBorder="1" applyAlignment="1" applyProtection="1">
      <alignment horizontal="center" vertical="center" wrapText="1"/>
      <protection locked="0"/>
    </xf>
    <xf numFmtId="0" fontId="7" fillId="3" borderId="38" xfId="0" applyFont="1" applyFill="1" applyBorder="1" applyAlignment="1">
      <alignment horizontal="left" vertical="top" wrapText="1"/>
    </xf>
    <xf numFmtId="0" fontId="7" fillId="0" borderId="38" xfId="0" applyFont="1" applyBorder="1" applyAlignment="1">
      <alignment horizontal="left" vertical="top" wrapText="1"/>
    </xf>
    <xf numFmtId="0" fontId="7" fillId="3" borderId="10" xfId="0" applyFont="1" applyFill="1" applyBorder="1" applyAlignment="1">
      <alignment horizontal="left" vertical="top" wrapText="1"/>
    </xf>
    <xf numFmtId="0" fontId="7" fillId="0" borderId="10" xfId="0" applyFont="1" applyBorder="1" applyAlignment="1">
      <alignment horizontal="left" vertical="top"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3"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4" xfId="0" applyFont="1"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9" fillId="0" borderId="10" xfId="0" applyFont="1" applyBorder="1" applyAlignment="1">
      <alignment horizontal="center" vertical="center" wrapText="1"/>
    </xf>
    <xf numFmtId="0" fontId="10" fillId="4" borderId="10" xfId="0" applyFont="1" applyFill="1" applyBorder="1" applyAlignment="1">
      <alignment horizontal="center" vertical="center" wrapText="1"/>
    </xf>
    <xf numFmtId="0" fontId="11" fillId="0" borderId="10" xfId="0" applyFont="1" applyBorder="1" applyAlignment="1">
      <alignment horizontal="center" vertical="center" wrapText="1"/>
    </xf>
    <xf numFmtId="0" fontId="0" fillId="3" borderId="10" xfId="0" applyFill="1" applyBorder="1" applyAlignment="1">
      <alignment horizontal="center"/>
    </xf>
    <xf numFmtId="0" fontId="6" fillId="2" borderId="17"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8" fillId="0" borderId="17" xfId="0" applyFont="1" applyBorder="1" applyAlignment="1">
      <alignment horizontal="left" vertical="center" wrapText="1"/>
    </xf>
    <xf numFmtId="0" fontId="7" fillId="0" borderId="18" xfId="0" applyFont="1" applyBorder="1" applyAlignment="1">
      <alignment horizontal="left" vertical="center" wrapText="1"/>
    </xf>
    <xf numFmtId="0" fontId="8" fillId="0" borderId="34" xfId="0" applyFont="1" applyBorder="1" applyAlignment="1">
      <alignment horizontal="left" vertical="center" wrapText="1"/>
    </xf>
    <xf numFmtId="0" fontId="7" fillId="0" borderId="35" xfId="0" applyFont="1" applyBorder="1" applyAlignment="1">
      <alignment horizontal="left" vertical="center" wrapText="1"/>
    </xf>
    <xf numFmtId="0" fontId="7" fillId="0" borderId="19" xfId="0" applyFont="1" applyBorder="1" applyAlignment="1">
      <alignment horizontal="left" vertical="center" wrapText="1"/>
    </xf>
    <xf numFmtId="0" fontId="7" fillId="0" borderId="20" xfId="0" applyFont="1" applyBorder="1" applyAlignment="1">
      <alignment horizontal="left" vertical="center" wrapText="1"/>
    </xf>
    <xf numFmtId="0" fontId="7" fillId="0" borderId="17" xfId="0" applyFont="1" applyBorder="1" applyAlignment="1">
      <alignment horizontal="left" vertical="top" wrapText="1"/>
    </xf>
    <xf numFmtId="0" fontId="7" fillId="0" borderId="18" xfId="0" applyFont="1" applyBorder="1" applyAlignment="1">
      <alignment horizontal="left" vertical="top" wrapText="1"/>
    </xf>
    <xf numFmtId="0" fontId="7" fillId="0" borderId="34" xfId="0" applyFont="1" applyBorder="1" applyAlignment="1">
      <alignment horizontal="left" vertical="top" wrapText="1"/>
    </xf>
    <xf numFmtId="0" fontId="7" fillId="0" borderId="35" xfId="0" applyFont="1" applyBorder="1" applyAlignment="1">
      <alignment horizontal="left" vertical="top" wrapText="1"/>
    </xf>
    <xf numFmtId="0" fontId="7" fillId="0" borderId="19" xfId="0" applyFont="1" applyBorder="1" applyAlignment="1">
      <alignment horizontal="left" vertical="top" wrapText="1"/>
    </xf>
    <xf numFmtId="0" fontId="7" fillId="0" borderId="20" xfId="0" applyFont="1" applyBorder="1" applyAlignment="1">
      <alignment horizontal="left" vertical="top" wrapText="1"/>
    </xf>
    <xf numFmtId="0" fontId="6" fillId="0" borderId="16" xfId="0" applyFont="1" applyBorder="1" applyAlignment="1">
      <alignment horizontal="left" vertical="top" wrapText="1"/>
    </xf>
    <xf numFmtId="0" fontId="7" fillId="0" borderId="16" xfId="0" applyFont="1" applyBorder="1" applyAlignment="1">
      <alignment horizontal="left" vertical="top" wrapText="1"/>
    </xf>
    <xf numFmtId="0" fontId="7" fillId="0" borderId="39" xfId="0" applyFont="1" applyBorder="1" applyAlignment="1">
      <alignment horizontal="left" vertical="top" wrapText="1"/>
    </xf>
    <xf numFmtId="0" fontId="7" fillId="3" borderId="15"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45" xfId="0" applyFont="1" applyFill="1" applyBorder="1" applyAlignment="1">
      <alignment horizontal="center" vertical="center" wrapText="1"/>
    </xf>
    <xf numFmtId="0" fontId="6" fillId="2" borderId="37"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12" fillId="6" borderId="10" xfId="0" applyFont="1" applyFill="1" applyBorder="1" applyAlignment="1" applyProtection="1">
      <alignment horizontal="center" vertical="center" wrapText="1"/>
      <protection hidden="1"/>
    </xf>
    <xf numFmtId="0" fontId="7" fillId="0" borderId="2" xfId="0" applyFont="1" applyBorder="1" applyAlignment="1">
      <alignment horizontal="left" vertical="top" wrapText="1"/>
    </xf>
    <xf numFmtId="0" fontId="7" fillId="0" borderId="2" xfId="0" applyFont="1" applyBorder="1" applyAlignment="1">
      <alignment horizontal="left" vertical="top"/>
    </xf>
    <xf numFmtId="0" fontId="7" fillId="0" borderId="5" xfId="0" applyFont="1" applyBorder="1" applyAlignment="1">
      <alignment horizontal="left" vertical="top"/>
    </xf>
    <xf numFmtId="0" fontId="7" fillId="0" borderId="13" xfId="0" applyFont="1" applyBorder="1" applyAlignment="1">
      <alignment horizontal="left" vertical="top" wrapText="1"/>
    </xf>
    <xf numFmtId="0" fontId="7" fillId="0" borderId="14" xfId="0" applyFont="1" applyBorder="1" applyAlignment="1">
      <alignment horizontal="left" vertical="top" wrapText="1"/>
    </xf>
    <xf numFmtId="0" fontId="12" fillId="6" borderId="43" xfId="0" applyFont="1" applyFill="1" applyBorder="1" applyAlignment="1" applyProtection="1">
      <alignment horizontal="center" vertical="center" wrapText="1"/>
      <protection hidden="1"/>
    </xf>
    <xf numFmtId="0" fontId="12" fillId="6" borderId="44" xfId="0" applyFont="1" applyFill="1" applyBorder="1" applyAlignment="1" applyProtection="1">
      <alignment horizontal="center" vertical="center" wrapText="1"/>
      <protection hidden="1"/>
    </xf>
    <xf numFmtId="0" fontId="13" fillId="0" borderId="10" xfId="0" applyFont="1" applyBorder="1" applyAlignment="1" applyProtection="1">
      <alignment horizontal="center" vertical="center" wrapText="1"/>
      <protection hidden="1"/>
    </xf>
    <xf numFmtId="0" fontId="13" fillId="0" borderId="10" xfId="0" applyFont="1" applyBorder="1" applyAlignment="1" applyProtection="1">
      <alignment horizontal="left" vertical="top" wrapText="1"/>
      <protection hidden="1"/>
    </xf>
    <xf numFmtId="0" fontId="13" fillId="3" borderId="10" xfId="0" applyFont="1" applyFill="1" applyBorder="1" applyAlignment="1" applyProtection="1">
      <alignment horizontal="center" vertical="center" wrapText="1"/>
      <protection hidden="1"/>
    </xf>
    <xf numFmtId="0" fontId="14" fillId="3" borderId="10" xfId="0" applyFont="1" applyFill="1" applyBorder="1" applyAlignment="1" applyProtection="1">
      <alignment horizontal="center" vertical="center" wrapText="1"/>
      <protection hidden="1"/>
    </xf>
    <xf numFmtId="0" fontId="9" fillId="7" borderId="7" xfId="0" applyFont="1" applyFill="1" applyBorder="1" applyAlignment="1">
      <alignment horizontal="center" vertical="center" wrapText="1"/>
    </xf>
    <xf numFmtId="0" fontId="9" fillId="7" borderId="8"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7" fillId="3" borderId="46" xfId="0" applyFont="1" applyFill="1" applyBorder="1" applyAlignment="1">
      <alignment horizontal="left" vertical="top" wrapText="1"/>
    </xf>
    <xf numFmtId="0" fontId="7" fillId="3" borderId="0" xfId="0" applyFont="1" applyFill="1" applyAlignment="1">
      <alignment horizontal="left" vertical="top" wrapText="1"/>
    </xf>
    <xf numFmtId="0" fontId="7" fillId="3" borderId="49" xfId="0" applyFont="1" applyFill="1" applyBorder="1" applyAlignment="1">
      <alignment horizontal="left" vertical="top" wrapText="1"/>
    </xf>
    <xf numFmtId="0" fontId="7" fillId="3" borderId="50" xfId="0" applyFont="1" applyFill="1" applyBorder="1" applyAlignment="1">
      <alignment horizontal="left" vertical="top" wrapText="1"/>
    </xf>
    <xf numFmtId="0" fontId="7" fillId="3" borderId="47" xfId="0" applyFont="1" applyFill="1" applyBorder="1" applyAlignment="1">
      <alignment horizontal="left" vertical="top" wrapText="1"/>
    </xf>
    <xf numFmtId="0" fontId="7" fillId="3" borderId="45" xfId="0" applyFont="1" applyFill="1" applyBorder="1" applyAlignment="1">
      <alignment horizontal="left" vertical="top" wrapText="1"/>
    </xf>
    <xf numFmtId="0" fontId="7" fillId="3" borderId="48" xfId="0" applyFont="1" applyFill="1" applyBorder="1" applyAlignment="1">
      <alignment horizontal="left" vertical="top" wrapText="1"/>
    </xf>
    <xf numFmtId="0" fontId="7" fillId="3" borderId="42" xfId="0" applyFont="1" applyFill="1" applyBorder="1" applyAlignment="1">
      <alignment horizontal="left" vertical="top" wrapText="1"/>
    </xf>
    <xf numFmtId="0" fontId="7" fillId="3" borderId="36" xfId="0" applyFont="1" applyFill="1" applyBorder="1" applyAlignment="1">
      <alignment horizontal="left" vertical="top" wrapText="1"/>
    </xf>
    <xf numFmtId="0" fontId="7" fillId="3" borderId="51" xfId="0" applyFont="1" applyFill="1" applyBorder="1" applyAlignment="1">
      <alignment horizontal="left" vertical="top" wrapText="1"/>
    </xf>
    <xf numFmtId="0" fontId="7" fillId="3" borderId="52" xfId="0" applyFont="1" applyFill="1" applyBorder="1" applyAlignment="1">
      <alignment horizontal="left" vertical="top"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7" fillId="0" borderId="27" xfId="0" applyFont="1" applyBorder="1" applyAlignment="1">
      <alignment horizontal="left" vertical="center" wrapText="1"/>
    </xf>
    <xf numFmtId="0" fontId="7" fillId="0" borderId="28" xfId="0" applyFont="1" applyBorder="1" applyAlignment="1">
      <alignment horizontal="left" vertical="center" wrapText="1"/>
    </xf>
    <xf numFmtId="0" fontId="6" fillId="2" borderId="29"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7" fillId="3" borderId="6" xfId="0" applyFont="1" applyFill="1" applyBorder="1" applyAlignment="1">
      <alignment vertical="center" wrapText="1"/>
    </xf>
    <xf numFmtId="0" fontId="7" fillId="3" borderId="10" xfId="0" applyFont="1" applyFill="1" applyBorder="1" applyAlignment="1">
      <alignment vertical="center" wrapText="1"/>
    </xf>
    <xf numFmtId="0" fontId="7" fillId="3" borderId="12" xfId="0" applyFont="1" applyFill="1" applyBorder="1" applyAlignment="1">
      <alignment vertical="center" wrapText="1"/>
    </xf>
    <xf numFmtId="0" fontId="7" fillId="3" borderId="13" xfId="0" applyFont="1" applyFill="1" applyBorder="1" applyAlignment="1">
      <alignment vertical="center" wrapText="1"/>
    </xf>
    <xf numFmtId="0" fontId="7" fillId="3" borderId="31" xfId="0" applyFont="1" applyFill="1" applyBorder="1" applyAlignment="1">
      <alignment vertical="top" wrapText="1"/>
    </xf>
    <xf numFmtId="0" fontId="7" fillId="3" borderId="32" xfId="0" applyFont="1" applyFill="1" applyBorder="1" applyAlignment="1">
      <alignment vertical="top" wrapText="1"/>
    </xf>
    <xf numFmtId="0" fontId="7" fillId="3" borderId="33" xfId="0" applyFont="1" applyFill="1" applyBorder="1" applyAlignment="1">
      <alignment vertical="top" wrapText="1"/>
    </xf>
    <xf numFmtId="0" fontId="7" fillId="3" borderId="34" xfId="0" applyFont="1" applyFill="1" applyBorder="1" applyAlignment="1">
      <alignment vertical="top" wrapText="1"/>
    </xf>
    <xf numFmtId="0" fontId="7" fillId="3" borderId="0" xfId="0" applyFont="1" applyFill="1" applyAlignment="1">
      <alignment vertical="top" wrapText="1"/>
    </xf>
    <xf numFmtId="0" fontId="7" fillId="3" borderId="35" xfId="0" applyFont="1" applyFill="1" applyBorder="1" applyAlignment="1">
      <alignment vertical="top" wrapText="1"/>
    </xf>
    <xf numFmtId="0" fontId="7" fillId="3" borderId="19" xfId="0" applyFont="1" applyFill="1" applyBorder="1" applyAlignment="1">
      <alignment vertical="top" wrapText="1"/>
    </xf>
    <xf numFmtId="0" fontId="7" fillId="3" borderId="37" xfId="0" applyFont="1" applyFill="1" applyBorder="1" applyAlignment="1">
      <alignment vertical="top" wrapText="1"/>
    </xf>
    <xf numFmtId="0" fontId="7" fillId="3" borderId="20" xfId="0" applyFont="1" applyFill="1" applyBorder="1" applyAlignment="1">
      <alignment vertical="top" wrapText="1"/>
    </xf>
  </cellXfs>
  <cellStyles count="5">
    <cellStyle name="Normal" xfId="0" builtinId="0"/>
    <cellStyle name="Normal 13 2" xfId="3" xr:uid="{FCD13F3E-83D5-490A-BE78-6257E16846A6}"/>
    <cellStyle name="Normal 2 4 3" xfId="1" xr:uid="{707F6A04-57DC-4545-97E3-88866E5B772B}"/>
    <cellStyle name="Normal 2 6" xfId="4" xr:uid="{320F312A-F4B7-45D0-B5B6-4EC607EBEBE6}"/>
    <cellStyle name="Normal 3 7" xfId="2" xr:uid="{EE0F8EDF-03C8-467C-83A9-11CA5C0BF7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externalLink" Target="externalLinks/externalLink2.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microsoft.com/office/2022/10/relationships/richValueRel" Target="richData/richValueRel.xml"/><Relationship Id="rId5" Type="http://schemas.openxmlformats.org/officeDocument/2006/relationships/externalLink" Target="externalLinks/externalLink4.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3.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xdr:from>
      <xdr:col>4</xdr:col>
      <xdr:colOff>1409700</xdr:colOff>
      <xdr:row>7</xdr:row>
      <xdr:rowOff>38100</xdr:rowOff>
    </xdr:from>
    <xdr:to>
      <xdr:col>5</xdr:col>
      <xdr:colOff>133350</xdr:colOff>
      <xdr:row>7</xdr:row>
      <xdr:rowOff>342900</xdr:rowOff>
    </xdr:to>
    <xdr:sp macro="" textlink="">
      <xdr:nvSpPr>
        <xdr:cNvPr id="2" name="Estrella: 5 puntas 1">
          <a:extLst>
            <a:ext uri="{FF2B5EF4-FFF2-40B4-BE49-F238E27FC236}">
              <a16:creationId xmlns:a16="http://schemas.microsoft.com/office/drawing/2014/main" id="{58D0C597-6B50-C10F-6F1A-ACBD1AEB9DFA}"/>
            </a:ext>
          </a:extLst>
        </xdr:cNvPr>
        <xdr:cNvSpPr/>
      </xdr:nvSpPr>
      <xdr:spPr>
        <a:xfrm>
          <a:off x="6734175" y="1905000"/>
          <a:ext cx="371475" cy="3048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eduardo_rodrigueza_unicafam_edu_co/Documents/Desktop/UA%20Desarrollo%20de%20Aplicaciones%20para%20Telecomun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ber/Dropbox/Espacio%20familiar/UNIR/RA/Matriz%20Resultados%20de%20Aprendizaje%20Especializaci&#243;n%20GS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23EED28/Formato%20UA%20Programa%20de%20Ingenieri&#769;a%20de%20Telecomunicacion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carlos_carrasco_unicafam_edu_co/Documents/En%20proceso/Plan%202023%20Circuitos%20electr&#243;nicos%20II%20V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ervicios/OneDrive%20-%20Fundaci&#243;n%20Universitaria%20Cafam/Santiago/UA%20guias/8.%20Octavo%20semestre%20UA%20Espec&#237;f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Desarrollo Aplicaciones I"/>
      <sheetName val="Desarrollo Aplicaciones II"/>
    </sheetNames>
    <sheetDataSet>
      <sheetData sheetId="0">
        <row r="2">
          <cell r="B2" t="str">
            <v>Diseñar la infraestructura de las redes de datos, sistemas telemáticos y radiocomunicaciones, para cubrir los requerimientos, necesidades y funcionamiento de los sistemas de comunicaciones de las organizaciones, bajo condiciones de calidad, factibilidad técnica, económica y de sustentabilidad; teniendo en cuenta las Arquitecturas, estándares, modelos, marcos generales y legales de telecomunicaciones.</v>
          </cell>
        </row>
        <row r="3">
          <cell r="B3" t="str">
            <v>Aplicar los elementos conceptuales de la generación y gestión de proyectos asociados a plataformas, sistemas y servicios de las Tecnologías de la información y las Comunicaciones; entendiendo la necesidad de estos en el avance y consolidación de las organizaciones con criterios de optimización y generación de valor.</v>
          </cell>
        </row>
        <row r="4">
          <cell r="B4" t="str">
            <v xml:space="preserve">Analizar el funcionamiento de circuitos eléctricos y electrónicos de los sistemas de telecomunicaciones, y su configuración a través del desarrollo de programas informáticos para telecomunicaciones; teniendo en cuenta las metodologías de desarrollo de software, los estándares y normas técnicas, buscando la optimización de los recursos disponibles. </v>
          </cell>
        </row>
        <row r="5">
          <cell r="B5" t="str">
            <v xml:space="preserve"> </v>
          </cell>
        </row>
        <row r="6">
          <cell r="B6" t="str">
            <v>Comp5</v>
          </cell>
        </row>
        <row r="7">
          <cell r="B7" t="str">
            <v>Comp6</v>
          </cell>
        </row>
        <row r="8">
          <cell r="B8" t="str">
            <v>Comp7</v>
          </cell>
        </row>
        <row r="9">
          <cell r="B9" t="str">
            <v>Comp8</v>
          </cell>
        </row>
        <row r="10">
          <cell r="B10" t="str">
            <v>Comp9</v>
          </cell>
        </row>
        <row r="11">
          <cell r="B11" t="str">
            <v>Comp10</v>
          </cell>
        </row>
      </sheetData>
      <sheetData sheetId="1">
        <row r="2">
          <cell r="B2" t="str">
            <v>Desarrolla el diseño y la configuración de las redes de datos y sistemas telemáticos, teniendo en cuenta la arquitectura de red, estándares, modelos, marcos generales y necesidades de la organización.</v>
          </cell>
        </row>
        <row r="3">
          <cell r="B3" t="str">
            <v>Desarrolla el diseño y la configuración de los sistemas de radiocomunicaciones teniendo en cuenta la tecnología, estándares, modelos, normas y el marco regulatorio y legal de las telecomunicaciones.</v>
          </cell>
        </row>
        <row r="4">
          <cell r="B4" t="str">
            <v>Propone proyectos de Tecnologías de Información y de Comunicaciones (TIC), estructurando y armonizando elementos de calidad, eficiencia, economía y sustentabilidad.</v>
          </cell>
        </row>
        <row r="5">
          <cell r="B5" t="str">
            <v>Analiza el funcionamiento de circuitos eléctricos y electrónicos de los sistemas de radiocomunicaciones y redes de datos, y su configuración a través del desarrollo de programas informáticos para telecomunicaciones.</v>
          </cell>
        </row>
        <row r="6">
          <cell r="B6" t="str">
            <v xml:space="preserve"> </v>
          </cell>
        </row>
        <row r="7">
          <cell r="B7" t="str">
            <v>ResAp06</v>
          </cell>
        </row>
        <row r="8">
          <cell r="B8" t="str">
            <v>ResAp07</v>
          </cell>
        </row>
        <row r="9">
          <cell r="B9" t="str">
            <v>ResAp08</v>
          </cell>
        </row>
        <row r="10">
          <cell r="B10" t="str">
            <v>ResAp09</v>
          </cell>
        </row>
        <row r="11">
          <cell r="B11" t="str">
            <v>ResAp10</v>
          </cell>
        </row>
      </sheetData>
      <sheetData sheetId="2">
        <row r="2">
          <cell r="B2" t="str">
            <v>Fundamentos de Redes de Datos</v>
          </cell>
        </row>
      </sheetData>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íz de RA"/>
      <sheetName val="Taxonomias "/>
      <sheetName val="RA"/>
      <sheetName val="Códigos "/>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Recursos"/>
      <sheetName val="MaestroNombreUA"/>
      <sheetName val="MaestroUA"/>
      <sheetName val="Hoja1"/>
    </sheetNames>
    <sheetDataSet>
      <sheetData sheetId="0"/>
      <sheetData sheetId="1"/>
      <sheetData sheetId="2">
        <row r="2">
          <cell r="B2"/>
        </row>
        <row r="3">
          <cell r="B3" t="str">
            <v>Acceso a Internet</v>
          </cell>
        </row>
        <row r="4">
          <cell r="B4" t="str">
            <v>Aula tradicional / (Tablero acrílico / Proyector / Otros)</v>
          </cell>
        </row>
        <row r="5">
          <cell r="B5" t="str">
            <v>Aula virtual / Acceso (MOODLE / CHAT / EMAIL / INTERNET / Otros)</v>
          </cell>
        </row>
        <row r="6">
          <cell r="B6" t="str">
            <v>Computador (escritorio / portátil)</v>
          </cell>
        </row>
        <row r="7">
          <cell r="B7" t="str">
            <v>Computador / Software automatización del diseño electrónico - EDA (Opciones: PROTEUS / MULTISIM / Otros)</v>
          </cell>
        </row>
        <row r="8">
          <cell r="B8" t="str">
            <v>Computador / Software compilador de código C# (Opciones: ECLIPSE / Otros)</v>
          </cell>
        </row>
        <row r="9">
          <cell r="B9" t="str">
            <v>Computador / Software creación y gestión mapas conceptuales (Opciones: CMAP / Otros)</v>
          </cell>
        </row>
        <row r="10">
          <cell r="B10" t="str">
            <v>Computador / Software Diagramas de Flujo de Datos (Opciones: DFD / VISIO / Otros)</v>
          </cell>
        </row>
        <row r="11">
          <cell r="B11" t="str">
            <v>Computador / Software editor de código (Opciones: NOTEPAD++ / VISUAL STUDIO / Otros)</v>
          </cell>
        </row>
        <row r="12">
          <cell r="B12" t="str">
            <v>Computador / Software hoja de cálculo (EXCEL / OPEN OFFICE / Otros)</v>
          </cell>
        </row>
        <row r="13">
          <cell r="B13" t="str">
            <v>Computador / Software para Diseño Asistido por Computador - CAD (Opciones: AUTOCAD / RHINOCEROS / SOLID WORKS / Otros)</v>
          </cell>
        </row>
        <row r="14">
          <cell r="B14" t="str">
            <v>Computador / Software procesador de texto (Opciones: WORD / LATEX / Otros)</v>
          </cell>
        </row>
        <row r="15">
          <cell r="B15" t="str">
            <v>Computador / Software procesamiento datos estadísticos (Opciones: MINITAB / R / Otros)</v>
          </cell>
        </row>
        <row r="16">
          <cell r="B16" t="str">
            <v>Computador / Software programación gráfica (Opciones: LABVIEW / SIMULINK / Otros)</v>
          </cell>
        </row>
        <row r="17">
          <cell r="B17" t="str">
            <v>Computador / Software simulación dispositivos electrónicos (Opciones: THINKERCAD / Otros)</v>
          </cell>
        </row>
        <row r="18">
          <cell r="B18" t="str">
            <v>Computador / Software simulación electromagnética (Opciones: MEEP-FDTD / FEKO / Otros)</v>
          </cell>
        </row>
        <row r="19">
          <cell r="B19" t="str">
            <v>Computador / Software simulación matemática (Opciones: MATLAB / SCILAB / OCTAVE / DERIVE / MATHCAD / Otros)</v>
          </cell>
        </row>
        <row r="20">
          <cell r="B20" t="str">
            <v>Computador / Software simulación procesos industriales (Opciones: FLEXIM / Otros)</v>
          </cell>
        </row>
        <row r="21">
          <cell r="B21" t="str">
            <v>Computador / Software simulador gráfico de red (Opciones: PACKET TRACER / GNS3 / Otros)</v>
          </cell>
        </row>
        <row r="22">
          <cell r="B22" t="str">
            <v>Laboratorio / Equipos de medición eléctrica (MULTÌMETRO / OSCILOSCOPIO / ANALIZAR ESPECTRO / Otros)</v>
          </cell>
        </row>
        <row r="23">
          <cell r="B23" t="str">
            <v>Laboratorio / Equipos de redes de telecomunicaciones</v>
          </cell>
        </row>
        <row r="24">
          <cell r="B24" t="str">
            <v>Laboratorio / Equipos fuente de energía (Generador sencillo / Generador dual / Generador de funciones)</v>
          </cell>
        </row>
        <row r="25">
          <cell r="B25" t="str">
            <v>Laboratorio / Herramienta para electricidad y electrónica (Alicate, Pinza, Destornillador, Cautín)</v>
          </cell>
        </row>
        <row r="26">
          <cell r="B26" t="str">
            <v>Laboratorio dispositivos de redes (SWITCH / ROUTER / TRANSCEIVER / MODEM / HUB</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2">
          <cell r="B72">
            <v>0</v>
          </cell>
        </row>
        <row r="73">
          <cell r="B73">
            <v>0</v>
          </cell>
        </row>
        <row r="74">
          <cell r="B74">
            <v>0</v>
          </cell>
        </row>
        <row r="75">
          <cell r="B75">
            <v>0</v>
          </cell>
        </row>
        <row r="76">
          <cell r="B76">
            <v>0</v>
          </cell>
        </row>
        <row r="77">
          <cell r="B77">
            <v>0</v>
          </cell>
        </row>
        <row r="78">
          <cell r="B78">
            <v>0</v>
          </cell>
        </row>
        <row r="79">
          <cell r="B79">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row r="90">
          <cell r="B90">
            <v>0</v>
          </cell>
        </row>
        <row r="91">
          <cell r="B91">
            <v>0</v>
          </cell>
        </row>
        <row r="92">
          <cell r="B92">
            <v>0</v>
          </cell>
        </row>
        <row r="93">
          <cell r="B93">
            <v>0</v>
          </cell>
        </row>
        <row r="94">
          <cell r="B94">
            <v>0</v>
          </cell>
        </row>
        <row r="95">
          <cell r="B95">
            <v>0</v>
          </cell>
        </row>
        <row r="96">
          <cell r="B96">
            <v>0</v>
          </cell>
        </row>
        <row r="97">
          <cell r="B97">
            <v>0</v>
          </cell>
        </row>
        <row r="98">
          <cell r="B98">
            <v>0</v>
          </cell>
        </row>
        <row r="99">
          <cell r="B99">
            <v>0</v>
          </cell>
        </row>
        <row r="100">
          <cell r="B100">
            <v>0</v>
          </cell>
        </row>
        <row r="101">
          <cell r="B101">
            <v>0</v>
          </cell>
        </row>
        <row r="102">
          <cell r="B102">
            <v>0</v>
          </cell>
        </row>
      </sheetData>
      <sheetData sheetId="3"/>
      <sheetData sheetId="4">
        <row r="2">
          <cell r="B2" t="str">
            <v>Fundamentos de Redes de Datos</v>
          </cell>
        </row>
      </sheetData>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Producción limpia"/>
      <sheetName val="Desarrollo de productos y servi"/>
      <sheetName val="Logística integral "/>
      <sheetName val="Practica profesional II"/>
    </sheetNames>
    <sheetDataSet>
      <sheetData sheetId="0"/>
      <sheetData sheetId="1"/>
      <sheetData sheetId="2"/>
      <sheetData sheetId="3"/>
      <sheetData sheetId="4"/>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34E90-01B2-4583-BAEE-4C6E586E6075}">
  <sheetPr>
    <tabColor theme="8"/>
  </sheetPr>
  <dimension ref="B2:O45"/>
  <sheetViews>
    <sheetView tabSelected="1" topLeftCell="E1" workbookViewId="0">
      <selection activeCell="C10" sqref="C10:N10"/>
    </sheetView>
  </sheetViews>
  <sheetFormatPr baseColWidth="10" defaultColWidth="10.85546875" defaultRowHeight="15" x14ac:dyDescent="0.25"/>
  <cols>
    <col min="1" max="1" width="5.7109375" style="4" customWidth="1"/>
    <col min="2" max="6" width="24.7109375" style="4" customWidth="1"/>
    <col min="7" max="14" width="12.7109375" style="4" customWidth="1"/>
    <col min="15" max="15" width="24.7109375" style="4" customWidth="1"/>
    <col min="16" max="16" width="5.85546875" style="4" customWidth="1"/>
    <col min="17" max="17" width="10.85546875" style="4"/>
    <col min="18" max="18" width="14" style="4" customWidth="1"/>
    <col min="19" max="16384" width="10.85546875" style="4"/>
  </cols>
  <sheetData>
    <row r="2" spans="2:15" ht="25.5" customHeight="1" x14ac:dyDescent="0.25">
      <c r="B2" s="44" t="e" vm="1">
        <v>#VALUE!</v>
      </c>
      <c r="C2" s="45" t="s">
        <v>0</v>
      </c>
      <c r="D2" s="45"/>
      <c r="E2" s="45"/>
      <c r="F2" s="45"/>
      <c r="G2" s="45"/>
      <c r="H2" s="45"/>
      <c r="I2" s="45"/>
      <c r="J2" s="45"/>
      <c r="K2" s="45"/>
      <c r="L2" s="45"/>
      <c r="M2" s="45"/>
      <c r="N2" s="45"/>
      <c r="O2" s="45"/>
    </row>
    <row r="3" spans="2:15" ht="24" customHeight="1" x14ac:dyDescent="0.25">
      <c r="B3" s="44"/>
      <c r="C3" s="46" t="s">
        <v>1</v>
      </c>
      <c r="D3" s="46"/>
      <c r="E3" s="46"/>
      <c r="F3" s="46"/>
      <c r="G3" s="46"/>
      <c r="H3" s="46"/>
      <c r="I3" s="46"/>
      <c r="J3" s="46"/>
      <c r="K3" s="46"/>
      <c r="L3" s="46"/>
      <c r="M3" s="46"/>
      <c r="N3" s="46"/>
      <c r="O3" s="46"/>
    </row>
    <row r="4" spans="2:15" ht="24" customHeight="1" x14ac:dyDescent="0.25">
      <c r="B4" s="44"/>
      <c r="C4" s="46"/>
      <c r="D4" s="46"/>
      <c r="E4" s="46"/>
      <c r="F4" s="46"/>
      <c r="G4" s="46"/>
      <c r="H4" s="46"/>
      <c r="I4" s="46"/>
      <c r="J4" s="46"/>
      <c r="K4" s="46"/>
      <c r="L4" s="46"/>
      <c r="M4" s="46"/>
      <c r="N4" s="46"/>
      <c r="O4" s="46"/>
    </row>
    <row r="5" spans="2:15" ht="20.100000000000001" customHeight="1" x14ac:dyDescent="0.25">
      <c r="B5" s="3" t="s">
        <v>2</v>
      </c>
      <c r="C5" s="2" t="s">
        <v>3</v>
      </c>
      <c r="D5" s="45" t="s">
        <v>4</v>
      </c>
      <c r="E5" s="45"/>
      <c r="F5" s="45"/>
      <c r="G5" s="2">
        <v>1</v>
      </c>
      <c r="H5" s="45" t="s">
        <v>5</v>
      </c>
      <c r="I5" s="45"/>
      <c r="J5" s="45"/>
      <c r="K5" s="47"/>
      <c r="L5" s="47"/>
      <c r="M5" s="45" t="s">
        <v>6</v>
      </c>
      <c r="N5" s="45"/>
      <c r="O5" s="2" t="s">
        <v>7</v>
      </c>
    </row>
    <row r="6" spans="2:15" ht="20.100000000000001" customHeight="1" x14ac:dyDescent="0.25">
      <c r="B6" s="34"/>
      <c r="C6" s="34"/>
      <c r="D6" s="34"/>
      <c r="E6" s="34"/>
      <c r="F6" s="34"/>
      <c r="G6" s="34"/>
      <c r="H6" s="34"/>
      <c r="I6" s="34"/>
      <c r="J6" s="34"/>
      <c r="K6" s="34"/>
      <c r="L6" s="34"/>
      <c r="M6" s="34"/>
      <c r="N6" s="34"/>
      <c r="O6" s="34"/>
    </row>
    <row r="7" spans="2:15" ht="20.100000000000001" customHeight="1" thickBot="1" x14ac:dyDescent="0.3">
      <c r="B7" s="35" t="s">
        <v>8</v>
      </c>
      <c r="C7" s="35"/>
      <c r="D7" s="35"/>
      <c r="E7" s="35"/>
      <c r="F7" s="35"/>
      <c r="G7" s="35"/>
      <c r="H7" s="35"/>
      <c r="I7" s="35"/>
      <c r="J7" s="35"/>
      <c r="K7" s="35"/>
      <c r="L7" s="35"/>
      <c r="M7" s="35"/>
      <c r="N7" s="35"/>
      <c r="O7" s="35"/>
    </row>
    <row r="8" spans="2:15" ht="30" customHeight="1" x14ac:dyDescent="0.25">
      <c r="B8" s="5" t="s">
        <v>9</v>
      </c>
      <c r="C8" s="36" t="s">
        <v>10</v>
      </c>
      <c r="D8" s="37"/>
      <c r="E8" s="37"/>
      <c r="F8" s="38"/>
      <c r="G8" s="6" t="s">
        <v>11</v>
      </c>
      <c r="H8" s="36">
        <v>3</v>
      </c>
      <c r="I8" s="38"/>
      <c r="J8" s="7" t="s">
        <v>12</v>
      </c>
      <c r="K8" s="27">
        <f>H8*16</f>
        <v>48</v>
      </c>
      <c r="L8" s="1" t="s">
        <v>13</v>
      </c>
      <c r="M8" s="27">
        <f>K8*2</f>
        <v>96</v>
      </c>
      <c r="N8" s="6" t="s">
        <v>14</v>
      </c>
      <c r="O8" s="29" t="s">
        <v>15</v>
      </c>
    </row>
    <row r="9" spans="2:15" ht="30" customHeight="1" x14ac:dyDescent="0.25">
      <c r="B9" s="8" t="s">
        <v>16</v>
      </c>
      <c r="C9" s="109" t="s">
        <v>17</v>
      </c>
      <c r="D9" s="110"/>
      <c r="E9" s="110"/>
      <c r="F9" s="110"/>
      <c r="G9" s="110"/>
      <c r="H9" s="110"/>
      <c r="I9" s="111"/>
      <c r="J9" s="9" t="s">
        <v>18</v>
      </c>
      <c r="K9" s="39" t="s">
        <v>19</v>
      </c>
      <c r="L9" s="40"/>
      <c r="M9" s="41"/>
      <c r="N9" s="10" t="s">
        <v>20</v>
      </c>
      <c r="O9" s="26">
        <v>14029200401</v>
      </c>
    </row>
    <row r="10" spans="2:15" ht="30" customHeight="1" thickBot="1" x14ac:dyDescent="0.3">
      <c r="B10" s="11" t="s">
        <v>21</v>
      </c>
      <c r="C10" s="42" t="s">
        <v>22</v>
      </c>
      <c r="D10" s="43"/>
      <c r="E10" s="43"/>
      <c r="F10" s="43"/>
      <c r="G10" s="43"/>
      <c r="H10" s="43"/>
      <c r="I10" s="43"/>
      <c r="J10" s="43"/>
      <c r="K10" s="43"/>
      <c r="L10" s="43"/>
      <c r="M10" s="43"/>
      <c r="N10" s="43"/>
      <c r="O10" s="25"/>
    </row>
    <row r="11" spans="2:15" ht="55.5" customHeight="1" thickBot="1" x14ac:dyDescent="0.3">
      <c r="B11" s="12" t="s">
        <v>23</v>
      </c>
      <c r="C11" s="112" t="s">
        <v>24</v>
      </c>
      <c r="D11" s="112"/>
      <c r="E11" s="112"/>
      <c r="F11" s="112"/>
      <c r="G11" s="112"/>
      <c r="H11" s="112"/>
      <c r="I11" s="112"/>
      <c r="J11" s="112"/>
      <c r="K11" s="112"/>
      <c r="L11" s="112"/>
      <c r="M11" s="112"/>
      <c r="N11" s="112"/>
      <c r="O11" s="113"/>
    </row>
    <row r="12" spans="2:15" ht="30" customHeight="1" thickBot="1" x14ac:dyDescent="0.3">
      <c r="B12" s="114" t="s">
        <v>25</v>
      </c>
      <c r="C12" s="82"/>
      <c r="D12" s="80" t="s">
        <v>26</v>
      </c>
      <c r="E12" s="81"/>
      <c r="F12" s="81"/>
      <c r="G12" s="82"/>
      <c r="H12" s="80" t="s">
        <v>27</v>
      </c>
      <c r="I12" s="81"/>
      <c r="J12" s="81"/>
      <c r="K12" s="81" t="s">
        <v>28</v>
      </c>
      <c r="L12" s="81"/>
      <c r="M12" s="82"/>
      <c r="N12" s="80" t="s">
        <v>29</v>
      </c>
      <c r="O12" s="115"/>
    </row>
    <row r="13" spans="2:15" ht="97.5" customHeight="1" x14ac:dyDescent="0.25">
      <c r="B13" s="116" t="s">
        <v>30</v>
      </c>
      <c r="C13" s="117"/>
      <c r="D13" s="120" t="s">
        <v>31</v>
      </c>
      <c r="E13" s="121"/>
      <c r="F13" s="121"/>
      <c r="G13" s="122"/>
      <c r="H13" s="98" t="s">
        <v>32</v>
      </c>
      <c r="I13" s="99"/>
      <c r="J13" s="99"/>
      <c r="K13" s="102" t="s">
        <v>33</v>
      </c>
      <c r="L13" s="103"/>
      <c r="M13" s="104"/>
      <c r="N13" s="102" t="s">
        <v>34</v>
      </c>
      <c r="O13" s="104"/>
    </row>
    <row r="14" spans="2:15" ht="97.5" customHeight="1" x14ac:dyDescent="0.25">
      <c r="B14" s="116"/>
      <c r="C14" s="117"/>
      <c r="D14" s="123"/>
      <c r="E14" s="124"/>
      <c r="F14" s="124"/>
      <c r="G14" s="125"/>
      <c r="H14" s="98"/>
      <c r="I14" s="99"/>
      <c r="J14" s="99"/>
      <c r="K14" s="105"/>
      <c r="L14" s="99"/>
      <c r="M14" s="106"/>
      <c r="N14" s="105"/>
      <c r="O14" s="106"/>
    </row>
    <row r="15" spans="2:15" ht="97.5" customHeight="1" x14ac:dyDescent="0.25">
      <c r="B15" s="116"/>
      <c r="C15" s="117"/>
      <c r="D15" s="123"/>
      <c r="E15" s="124"/>
      <c r="F15" s="124"/>
      <c r="G15" s="125"/>
      <c r="H15" s="98"/>
      <c r="I15" s="99"/>
      <c r="J15" s="99"/>
      <c r="K15" s="105"/>
      <c r="L15" s="99"/>
      <c r="M15" s="106"/>
      <c r="N15" s="105"/>
      <c r="O15" s="106"/>
    </row>
    <row r="16" spans="2:15" ht="97.5" customHeight="1" thickBot="1" x14ac:dyDescent="0.3">
      <c r="B16" s="118"/>
      <c r="C16" s="119"/>
      <c r="D16" s="126"/>
      <c r="E16" s="127"/>
      <c r="F16" s="127"/>
      <c r="G16" s="128"/>
      <c r="H16" s="100"/>
      <c r="I16" s="101"/>
      <c r="J16" s="101"/>
      <c r="K16" s="107"/>
      <c r="L16" s="101"/>
      <c r="M16" s="108"/>
      <c r="N16" s="107"/>
      <c r="O16" s="108"/>
    </row>
    <row r="17" spans="2:15" ht="30" customHeight="1" x14ac:dyDescent="0.25">
      <c r="B17" s="70" t="s">
        <v>35</v>
      </c>
      <c r="C17" s="72" t="s">
        <v>36</v>
      </c>
      <c r="D17" s="80" t="s">
        <v>37</v>
      </c>
      <c r="E17" s="81"/>
      <c r="F17" s="82"/>
      <c r="G17" s="76" t="s">
        <v>38</v>
      </c>
      <c r="H17" s="77"/>
      <c r="I17" s="48" t="s">
        <v>39</v>
      </c>
      <c r="J17" s="49"/>
      <c r="K17" s="48" t="s">
        <v>40</v>
      </c>
      <c r="L17" s="74"/>
      <c r="M17" s="48" t="s">
        <v>41</v>
      </c>
      <c r="N17" s="49"/>
      <c r="O17" s="52" t="s">
        <v>42</v>
      </c>
    </row>
    <row r="18" spans="2:15" ht="15" customHeight="1" thickBot="1" x14ac:dyDescent="0.3">
      <c r="B18" s="71"/>
      <c r="C18" s="73"/>
      <c r="D18" s="15" t="s">
        <v>43</v>
      </c>
      <c r="E18" s="15" t="s">
        <v>44</v>
      </c>
      <c r="F18" s="15" t="s">
        <v>45</v>
      </c>
      <c r="G18" s="78"/>
      <c r="H18" s="79"/>
      <c r="I18" s="50"/>
      <c r="J18" s="51"/>
      <c r="K18" s="50"/>
      <c r="L18" s="75"/>
      <c r="M18" s="50"/>
      <c r="N18" s="51"/>
      <c r="O18" s="53"/>
    </row>
    <row r="19" spans="2:15" ht="255.75" customHeight="1" x14ac:dyDescent="0.25">
      <c r="B19" s="69" t="s">
        <v>46</v>
      </c>
      <c r="C19" s="30" t="s">
        <v>47</v>
      </c>
      <c r="D19" s="31" t="s">
        <v>48</v>
      </c>
      <c r="E19" s="31" t="s">
        <v>49</v>
      </c>
      <c r="F19" s="31" t="s">
        <v>50</v>
      </c>
      <c r="G19" s="54" t="s">
        <v>51</v>
      </c>
      <c r="H19" s="55"/>
      <c r="I19" s="60" t="s">
        <v>52</v>
      </c>
      <c r="J19" s="61"/>
      <c r="K19" s="60" t="s">
        <v>53</v>
      </c>
      <c r="L19" s="61"/>
      <c r="M19" s="60" t="s">
        <v>54</v>
      </c>
      <c r="N19" s="61"/>
      <c r="O19" s="66" t="s">
        <v>55</v>
      </c>
    </row>
    <row r="20" spans="2:15" ht="255.75" customHeight="1" thickBot="1" x14ac:dyDescent="0.3">
      <c r="B20" s="69"/>
      <c r="C20" s="32" t="s">
        <v>56</v>
      </c>
      <c r="D20" s="33" t="s">
        <v>57</v>
      </c>
      <c r="E20" s="33" t="s">
        <v>58</v>
      </c>
      <c r="F20" s="33" t="s">
        <v>59</v>
      </c>
      <c r="G20" s="56"/>
      <c r="H20" s="57"/>
      <c r="I20" s="62"/>
      <c r="J20" s="63"/>
      <c r="K20" s="62"/>
      <c r="L20" s="63"/>
      <c r="M20" s="62"/>
      <c r="N20" s="63"/>
      <c r="O20" s="67"/>
    </row>
    <row r="21" spans="2:15" ht="15.75" hidden="1" customHeight="1" thickBot="1" x14ac:dyDescent="0.3">
      <c r="B21" s="16"/>
      <c r="C21" s="17"/>
      <c r="D21" s="18"/>
      <c r="E21" s="18"/>
      <c r="F21" s="18"/>
      <c r="G21" s="58"/>
      <c r="H21" s="59"/>
      <c r="I21" s="64"/>
      <c r="J21" s="65"/>
      <c r="K21" s="64"/>
      <c r="L21" s="65"/>
      <c r="M21" s="64"/>
      <c r="N21" s="65"/>
      <c r="O21" s="68"/>
    </row>
    <row r="22" spans="2:15" ht="15.75" hidden="1" thickBot="1" x14ac:dyDescent="0.3">
      <c r="B22" s="16"/>
      <c r="C22" s="17"/>
      <c r="D22" s="18"/>
      <c r="E22" s="18"/>
      <c r="F22" s="18"/>
      <c r="G22" s="18"/>
      <c r="H22" s="18"/>
      <c r="I22" s="18"/>
      <c r="J22"/>
      <c r="K22"/>
      <c r="L22"/>
      <c r="M22"/>
      <c r="N22"/>
      <c r="O22" s="19"/>
    </row>
    <row r="23" spans="2:15" ht="15.75" hidden="1" thickBot="1" x14ac:dyDescent="0.3">
      <c r="B23" s="16"/>
      <c r="C23" s="17"/>
      <c r="D23" s="18"/>
      <c r="E23" s="18"/>
      <c r="F23" s="18"/>
      <c r="G23" s="18"/>
      <c r="H23" s="18"/>
      <c r="I23" s="18"/>
      <c r="J23"/>
      <c r="K23"/>
      <c r="L23"/>
      <c r="M23"/>
      <c r="N23"/>
      <c r="O23" s="19"/>
    </row>
    <row r="24" spans="2:15" ht="15.75" hidden="1" thickBot="1" x14ac:dyDescent="0.3">
      <c r="B24" s="16"/>
      <c r="C24" s="17"/>
      <c r="D24" s="18"/>
      <c r="E24" s="18"/>
      <c r="F24" s="18"/>
      <c r="G24" s="18"/>
      <c r="H24" s="18"/>
      <c r="I24" s="18"/>
      <c r="J24"/>
      <c r="K24"/>
      <c r="L24"/>
      <c r="M24"/>
      <c r="N24"/>
      <c r="O24" s="19"/>
    </row>
    <row r="25" spans="2:15" ht="15.75" hidden="1" thickBot="1" x14ac:dyDescent="0.3">
      <c r="B25" s="16"/>
      <c r="C25" s="17"/>
      <c r="D25" s="18"/>
      <c r="E25" s="18"/>
      <c r="F25" s="18"/>
      <c r="G25" s="18"/>
      <c r="H25" s="18"/>
      <c r="I25" s="18"/>
      <c r="J25"/>
      <c r="K25"/>
      <c r="L25"/>
      <c r="M25"/>
      <c r="N25"/>
      <c r="O25" s="19"/>
    </row>
    <row r="26" spans="2:15" ht="15.75" hidden="1" thickBot="1" x14ac:dyDescent="0.3">
      <c r="B26" s="16"/>
      <c r="C26" s="17"/>
      <c r="D26" s="18"/>
      <c r="E26" s="18"/>
      <c r="F26" s="18"/>
      <c r="G26" s="18"/>
      <c r="H26" s="18"/>
      <c r="I26" s="18"/>
      <c r="J26"/>
      <c r="K26"/>
      <c r="L26"/>
      <c r="M26"/>
      <c r="N26"/>
      <c r="O26" s="19"/>
    </row>
    <row r="27" spans="2:15" ht="15.75" hidden="1" thickBot="1" x14ac:dyDescent="0.3">
      <c r="B27" s="20"/>
      <c r="C27" s="21"/>
      <c r="D27" s="18"/>
      <c r="E27" s="18"/>
      <c r="F27" s="18"/>
      <c r="G27" s="18"/>
      <c r="H27" s="18"/>
      <c r="I27" s="18"/>
      <c r="J27"/>
      <c r="K27"/>
      <c r="L27"/>
      <c r="M27"/>
      <c r="N27"/>
      <c r="O27" s="19"/>
    </row>
    <row r="28" spans="2:15" ht="156" customHeight="1" x14ac:dyDescent="0.25">
      <c r="B28" s="13" t="s">
        <v>60</v>
      </c>
      <c r="C28" s="84" t="s">
        <v>61</v>
      </c>
      <c r="D28" s="85"/>
      <c r="E28" s="85"/>
      <c r="F28" s="85"/>
      <c r="G28" s="85"/>
      <c r="H28" s="85"/>
      <c r="I28" s="85"/>
      <c r="J28" s="85"/>
      <c r="K28" s="85"/>
      <c r="L28" s="85"/>
      <c r="M28" s="85"/>
      <c r="N28" s="85"/>
      <c r="O28" s="86"/>
    </row>
    <row r="29" spans="2:15" ht="83.25" customHeight="1" thickBot="1" x14ac:dyDescent="0.3">
      <c r="B29" s="14" t="s">
        <v>62</v>
      </c>
      <c r="C29" s="87" t="s">
        <v>63</v>
      </c>
      <c r="D29" s="87"/>
      <c r="E29" s="87"/>
      <c r="F29" s="87"/>
      <c r="G29" s="87"/>
      <c r="H29" s="87"/>
      <c r="I29" s="87"/>
      <c r="J29" s="87"/>
      <c r="K29" s="87"/>
      <c r="L29" s="87"/>
      <c r="M29" s="87"/>
      <c r="N29" s="87"/>
      <c r="O29" s="88"/>
    </row>
    <row r="31" spans="2:15" ht="24.75" customHeight="1" x14ac:dyDescent="0.25">
      <c r="B31" s="89" t="s">
        <v>64</v>
      </c>
      <c r="C31" s="90"/>
      <c r="D31" s="90"/>
      <c r="E31" s="90"/>
      <c r="F31" s="90"/>
      <c r="G31" s="90"/>
      <c r="H31" s="90"/>
      <c r="I31" s="90"/>
      <c r="J31" s="90"/>
      <c r="K31" s="90"/>
      <c r="L31" s="90"/>
      <c r="M31" s="90"/>
      <c r="N31" s="90"/>
      <c r="O31" s="90"/>
    </row>
    <row r="32" spans="2:15" ht="24.75" customHeight="1" x14ac:dyDescent="0.25">
      <c r="B32" s="83" t="s">
        <v>4</v>
      </c>
      <c r="C32" s="83"/>
      <c r="D32" s="83" t="s">
        <v>65</v>
      </c>
      <c r="E32" s="83"/>
      <c r="F32" s="83"/>
      <c r="G32" s="83" t="s">
        <v>66</v>
      </c>
      <c r="H32" s="83"/>
      <c r="I32" s="83"/>
      <c r="J32" s="83"/>
      <c r="K32" s="83"/>
      <c r="L32" s="83"/>
      <c r="M32" s="83"/>
      <c r="N32" s="83"/>
      <c r="O32" s="83"/>
    </row>
    <row r="33" spans="2:15" ht="24.75" customHeight="1" x14ac:dyDescent="0.25">
      <c r="B33" s="83"/>
      <c r="C33" s="83"/>
      <c r="D33" s="22" t="s">
        <v>67</v>
      </c>
      <c r="E33" s="22" t="s">
        <v>68</v>
      </c>
      <c r="F33" s="22" t="s">
        <v>69</v>
      </c>
      <c r="G33" s="83"/>
      <c r="H33" s="83"/>
      <c r="I33" s="83"/>
      <c r="J33" s="83"/>
      <c r="K33" s="83"/>
      <c r="L33" s="83"/>
      <c r="M33" s="83"/>
      <c r="N33" s="83"/>
      <c r="O33" s="83"/>
    </row>
    <row r="34" spans="2:15" ht="79.5" customHeight="1" x14ac:dyDescent="0.25">
      <c r="B34" s="91">
        <v>1</v>
      </c>
      <c r="C34" s="91"/>
      <c r="D34" s="23"/>
      <c r="E34" s="23"/>
      <c r="F34" s="28"/>
      <c r="G34" s="92" t="s">
        <v>70</v>
      </c>
      <c r="H34" s="92"/>
      <c r="I34" s="92"/>
      <c r="J34" s="92"/>
      <c r="K34" s="92"/>
      <c r="L34" s="92"/>
      <c r="M34" s="92"/>
      <c r="N34" s="92"/>
      <c r="O34" s="92"/>
    </row>
    <row r="35" spans="2:15" ht="24.75" customHeight="1" x14ac:dyDescent="0.25">
      <c r="B35" s="24"/>
      <c r="G35" s="24"/>
      <c r="H35" s="24"/>
      <c r="I35" s="24"/>
    </row>
    <row r="36" spans="2:15" ht="24.75" customHeight="1" x14ac:dyDescent="0.25">
      <c r="B36" s="45" t="s">
        <v>71</v>
      </c>
      <c r="C36" s="45"/>
      <c r="D36" s="45"/>
      <c r="E36" s="45"/>
      <c r="F36" s="45"/>
      <c r="G36" s="45"/>
      <c r="H36" s="45"/>
      <c r="I36" s="45"/>
      <c r="J36" s="45"/>
      <c r="K36" s="45"/>
      <c r="L36" s="45"/>
      <c r="M36" s="45"/>
      <c r="N36" s="45"/>
      <c r="O36" s="45"/>
    </row>
    <row r="37" spans="2:15" ht="24.75" customHeight="1" x14ac:dyDescent="0.25">
      <c r="B37" s="45" t="s">
        <v>72</v>
      </c>
      <c r="C37" s="45"/>
      <c r="D37" s="45"/>
      <c r="E37" s="45"/>
      <c r="F37" s="45"/>
      <c r="G37" s="45"/>
      <c r="H37" s="45"/>
      <c r="I37" s="45"/>
      <c r="J37" s="45"/>
      <c r="K37" s="45"/>
      <c r="L37" s="45"/>
      <c r="M37" s="45"/>
      <c r="N37" s="45"/>
      <c r="O37" s="45"/>
    </row>
    <row r="38" spans="2:15" ht="24.75" customHeight="1" x14ac:dyDescent="0.25">
      <c r="B38" s="83" t="s">
        <v>73</v>
      </c>
      <c r="C38" s="83"/>
      <c r="D38" s="83"/>
      <c r="E38" s="83"/>
      <c r="F38" s="83"/>
      <c r="G38" s="83"/>
      <c r="H38" s="83" t="s">
        <v>74</v>
      </c>
      <c r="I38" s="83"/>
      <c r="J38" s="83"/>
      <c r="K38" s="83"/>
      <c r="L38" s="83"/>
      <c r="M38" s="83" t="s">
        <v>75</v>
      </c>
      <c r="N38" s="83"/>
      <c r="O38" s="83"/>
    </row>
    <row r="39" spans="2:15" ht="24.75" customHeight="1" x14ac:dyDescent="0.25">
      <c r="B39" s="93" t="s">
        <v>76</v>
      </c>
      <c r="C39" s="93"/>
      <c r="D39" s="93"/>
      <c r="E39" s="93"/>
      <c r="F39" s="93"/>
      <c r="G39" s="93"/>
      <c r="H39" s="93" t="s">
        <v>77</v>
      </c>
      <c r="I39" s="93"/>
      <c r="J39" s="93"/>
      <c r="K39" s="93"/>
      <c r="L39" s="93"/>
      <c r="M39" s="94" t="s">
        <v>76</v>
      </c>
      <c r="N39" s="93"/>
      <c r="O39" s="93"/>
    </row>
    <row r="40" spans="2:15" ht="24.75" customHeight="1" x14ac:dyDescent="0.25">
      <c r="B40" s="83" t="s">
        <v>78</v>
      </c>
      <c r="C40" s="83"/>
      <c r="D40" s="83"/>
      <c r="E40" s="83"/>
      <c r="F40" s="83"/>
      <c r="G40" s="83"/>
      <c r="H40" s="83"/>
      <c r="I40" s="83"/>
      <c r="J40" s="83"/>
      <c r="K40" s="83"/>
      <c r="L40" s="83"/>
      <c r="M40" s="83"/>
      <c r="N40" s="83"/>
      <c r="O40" s="83"/>
    </row>
    <row r="41" spans="2:15" ht="24.75" customHeight="1" x14ac:dyDescent="0.25">
      <c r="B41" s="83" t="s">
        <v>73</v>
      </c>
      <c r="C41" s="83"/>
      <c r="D41" s="83"/>
      <c r="E41" s="83"/>
      <c r="F41" s="83"/>
      <c r="G41" s="83"/>
      <c r="H41" s="83" t="s">
        <v>74</v>
      </c>
      <c r="I41" s="83"/>
      <c r="J41" s="83"/>
      <c r="K41" s="83"/>
      <c r="L41" s="83"/>
      <c r="M41" s="83" t="s">
        <v>75</v>
      </c>
      <c r="N41" s="83"/>
      <c r="O41" s="83"/>
    </row>
    <row r="42" spans="2:15" ht="24.75" customHeight="1" x14ac:dyDescent="0.25">
      <c r="B42" s="95" t="s">
        <v>79</v>
      </c>
      <c r="C42" s="96"/>
      <c r="D42" s="96"/>
      <c r="E42" s="96"/>
      <c r="F42" s="96"/>
      <c r="G42" s="97"/>
      <c r="H42" s="95" t="s">
        <v>80</v>
      </c>
      <c r="I42" s="96"/>
      <c r="J42" s="96"/>
      <c r="K42" s="96"/>
      <c r="L42" s="97"/>
      <c r="M42" s="94" t="s">
        <v>81</v>
      </c>
      <c r="N42" s="93"/>
      <c r="O42" s="93"/>
    </row>
    <row r="43" spans="2:15" ht="24.75" customHeight="1" x14ac:dyDescent="0.25">
      <c r="B43" s="83" t="s">
        <v>82</v>
      </c>
      <c r="C43" s="83"/>
      <c r="D43" s="83"/>
      <c r="E43" s="83"/>
      <c r="F43" s="83"/>
      <c r="G43" s="83"/>
      <c r="H43" s="83"/>
      <c r="I43" s="83"/>
      <c r="J43" s="83"/>
      <c r="K43" s="83"/>
      <c r="L43" s="83"/>
      <c r="M43" s="83"/>
      <c r="N43" s="83"/>
      <c r="O43" s="83"/>
    </row>
    <row r="44" spans="2:15" ht="24.75" customHeight="1" x14ac:dyDescent="0.25">
      <c r="B44" s="83" t="s">
        <v>73</v>
      </c>
      <c r="C44" s="83"/>
      <c r="D44" s="83"/>
      <c r="E44" s="83"/>
      <c r="F44" s="83"/>
      <c r="G44" s="83"/>
      <c r="H44" s="83" t="s">
        <v>74</v>
      </c>
      <c r="I44" s="83"/>
      <c r="J44" s="83"/>
      <c r="K44" s="83"/>
      <c r="L44" s="83"/>
      <c r="M44" s="83" t="s">
        <v>75</v>
      </c>
      <c r="N44" s="83"/>
      <c r="O44" s="83"/>
    </row>
    <row r="45" spans="2:15" ht="24.75" customHeight="1" x14ac:dyDescent="0.25">
      <c r="B45" s="93"/>
      <c r="C45" s="93"/>
      <c r="D45" s="93"/>
      <c r="E45" s="93"/>
      <c r="F45" s="93"/>
      <c r="G45" s="93"/>
      <c r="H45" s="93"/>
      <c r="I45" s="93"/>
      <c r="J45" s="93"/>
      <c r="K45" s="93"/>
      <c r="L45" s="93"/>
      <c r="M45" s="93"/>
      <c r="N45" s="93"/>
      <c r="O45" s="93"/>
    </row>
  </sheetData>
  <mergeCells count="69">
    <mergeCell ref="H12:J12"/>
    <mergeCell ref="H13:J16"/>
    <mergeCell ref="K12:M12"/>
    <mergeCell ref="K13:M16"/>
    <mergeCell ref="H8:I8"/>
    <mergeCell ref="C9:I9"/>
    <mergeCell ref="C11:O11"/>
    <mergeCell ref="B12:C12"/>
    <mergeCell ref="D12:G12"/>
    <mergeCell ref="N12:O12"/>
    <mergeCell ref="B13:C16"/>
    <mergeCell ref="D13:G16"/>
    <mergeCell ref="N13:O16"/>
    <mergeCell ref="B45:G45"/>
    <mergeCell ref="H45:L45"/>
    <mergeCell ref="M45:O45"/>
    <mergeCell ref="B42:G42"/>
    <mergeCell ref="H42:L42"/>
    <mergeCell ref="M42:O42"/>
    <mergeCell ref="B43:O43"/>
    <mergeCell ref="B44:G44"/>
    <mergeCell ref="H44:L44"/>
    <mergeCell ref="M44:O44"/>
    <mergeCell ref="B39:G39"/>
    <mergeCell ref="H39:L39"/>
    <mergeCell ref="M39:O39"/>
    <mergeCell ref="B40:O40"/>
    <mergeCell ref="B41:G41"/>
    <mergeCell ref="H41:L41"/>
    <mergeCell ref="M41:O41"/>
    <mergeCell ref="B38:G38"/>
    <mergeCell ref="H38:L38"/>
    <mergeCell ref="M38:O38"/>
    <mergeCell ref="C28:O28"/>
    <mergeCell ref="C29:O29"/>
    <mergeCell ref="B31:O31"/>
    <mergeCell ref="B32:C33"/>
    <mergeCell ref="B34:C34"/>
    <mergeCell ref="B36:O36"/>
    <mergeCell ref="B37:O37"/>
    <mergeCell ref="D32:F32"/>
    <mergeCell ref="G32:O33"/>
    <mergeCell ref="G34:O34"/>
    <mergeCell ref="B19:B20"/>
    <mergeCell ref="B17:B18"/>
    <mergeCell ref="C17:C18"/>
    <mergeCell ref="K17:L18"/>
    <mergeCell ref="G17:H18"/>
    <mergeCell ref="I17:J18"/>
    <mergeCell ref="D17:F17"/>
    <mergeCell ref="M17:N18"/>
    <mergeCell ref="O17:O18"/>
    <mergeCell ref="G19:H21"/>
    <mergeCell ref="I19:J21"/>
    <mergeCell ref="K19:L21"/>
    <mergeCell ref="M19:N21"/>
    <mergeCell ref="O19:O21"/>
    <mergeCell ref="B2:B4"/>
    <mergeCell ref="C2:O2"/>
    <mergeCell ref="C3:O4"/>
    <mergeCell ref="D5:F5"/>
    <mergeCell ref="H5:J5"/>
    <mergeCell ref="K5:L5"/>
    <mergeCell ref="M5:N5"/>
    <mergeCell ref="B6:O6"/>
    <mergeCell ref="B7:O7"/>
    <mergeCell ref="C8:F8"/>
    <mergeCell ref="K9:M9"/>
    <mergeCell ref="C10:N10"/>
  </mergeCells>
  <pageMargins left="0.7" right="0.7" top="0.75" bottom="0.75" header="0.3" footer="0.3"/>
  <pageSetup scale="3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Seguridad de la Informacion</vt:lpstr>
      <vt:lpstr>'Seguridad de la Informacion'!Área_de_impresión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Fulbia Emilia Cerón Gomez</dc:creator>
  <cp:keywords/>
  <dc:description/>
  <cp:lastModifiedBy>Fulbia Emilia Cerón Gomez</cp:lastModifiedBy>
  <cp:revision/>
  <dcterms:created xsi:type="dcterms:W3CDTF">2023-11-07T19:05:59Z</dcterms:created>
  <dcterms:modified xsi:type="dcterms:W3CDTF">2025-07-03T17:01:54Z</dcterms:modified>
  <cp:category/>
  <cp:contentStatus/>
</cp:coreProperties>
</file>