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unicafamnet-my.sharepoint.com/personal/fulbia_ceron_unicafam_edu_co/Documents/Unicafam/Curricular/Actualizacion_UA_2025_02/TECNOLOGÍA EN ANÁLITICA Y GESTION  DE DATOS/"/>
    </mc:Choice>
  </mc:AlternateContent>
  <xr:revisionPtr revIDLastSave="26" documentId="8_{98B8F179-CE74-41E8-BDE0-0D45B07C1202}" xr6:coauthVersionLast="47" xr6:coauthVersionMax="47" xr10:uidLastSave="{7C10B149-1C3F-4E49-B213-1BFA6B180892}"/>
  <bookViews>
    <workbookView xWindow="-120" yWindow="-120" windowWidth="24240" windowHeight="13140" xr2:uid="{073C78CB-1153-4E28-9EA5-E6B24BEE004B}"/>
  </bookViews>
  <sheets>
    <sheet name="UA" sheetId="1" r:id="rId1"/>
  </sheets>
  <externalReferences>
    <externalReference r:id="rId2"/>
    <externalReference r:id="rId3"/>
    <externalReference r:id="rId4"/>
    <externalReference r:id="rId5"/>
    <externalReference r:id="rId6"/>
  </externalReferences>
  <definedNames>
    <definedName name="_xlnm.Print_Area" localSheetId="0">UA!$B$2:$O$54</definedName>
    <definedName name="Competencias">[1]MaestroCompetencias!$B$2:$B$11</definedName>
    <definedName name="CRÉDITOS">'[2]Códigos '!$AK$70:$AK$74</definedName>
    <definedName name="DatosCompleto">[3]MaestroUA!$B$2:$M$89</definedName>
    <definedName name="ingenieria">#REF!</definedName>
    <definedName name="RedacciónRecurso">[4]MaestroRecursos!$B$2:$B$102</definedName>
    <definedName name="ResultadoAprendizaje">[1]MaestroResultadosA!$B$2:$B$12</definedName>
    <definedName name="Semestre">[5]asdf!$A$13:$A$20</definedName>
    <definedName name="TIPOLOGÍA">'[2]Códigos '!$AJ$70:$AJ$72</definedName>
    <definedName name="UnidadAcademica">[3]MaestroUA!$B$2:$B$89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M9"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<sst xmlns="http://schemas.openxmlformats.org/spreadsheetml/2006/main" count="106" uniqueCount="98">
  <si>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</si>
  <si>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</si>
  <si>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</si>
  <si>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</si>
  <si>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</si>
  <si>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</si>
  <si>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</si>
  <si>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</si>
  <si>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</si>
  <si>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</si>
  <si>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N° Créditos:</t>
  </si>
  <si>
    <t>TFD:</t>
  </si>
  <si>
    <t>Sincrónico</t>
  </si>
  <si>
    <t>Asíncrónico</t>
  </si>
  <si>
    <t>TTI:</t>
  </si>
  <si>
    <t>METODOLOGÍA:</t>
  </si>
  <si>
    <t>PROGRAMA:</t>
  </si>
  <si>
    <t>SEMESTRE:</t>
  </si>
  <si>
    <t>CÓDIGO:</t>
  </si>
  <si>
    <t>ÁREA DE FORMACIÓN:</t>
  </si>
  <si>
    <t>JUSTIFICACIÓN:</t>
  </si>
  <si>
    <t xml:space="preserve">COMPETENCIA </t>
  </si>
  <si>
    <t>SABERES ESPECÍFICOS
(saber)</t>
  </si>
  <si>
    <t xml:space="preserve">HABILIDADES O DESTREZAS 
(saber hacer) </t>
  </si>
  <si>
    <t xml:space="preserve">ACTITUDES 
(saber ser) </t>
  </si>
  <si>
    <t xml:space="preserve">APRENDER A APRENDER </t>
  </si>
  <si>
    <t xml:space="preserve">RESULTADO DE APREDIZAJE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</si>
  <si>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</si>
  <si>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</si>
  <si>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</si>
  <si>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</si>
  <si>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</si>
  <si>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</si>
  <si>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</si>
  <si>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</si>
  <si>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</si>
  <si>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Nivel bajo</t>
  </si>
  <si>
    <t xml:space="preserve">RECURSOS DE APOYO </t>
  </si>
  <si>
    <t xml:space="preserve">BIBLIOGRAFÍA  </t>
  </si>
  <si>
    <t>CONTROL DE CAMBIOS</t>
  </si>
  <si>
    <t>FECHA DE APROBACIÓN</t>
  </si>
  <si>
    <t>DESCRIPCIÓN DEL CAMBIO</t>
  </si>
  <si>
    <t>DD</t>
  </si>
  <si>
    <t>MM</t>
  </si>
  <si>
    <t>AAAA</t>
  </si>
  <si>
    <t>Creación del Documento</t>
  </si>
  <si>
    <t>CONTROL DE DOCUMENTOS</t>
  </si>
  <si>
    <t>ELABORO</t>
  </si>
  <si>
    <t>NOMBRES Y APELLIDOS</t>
  </si>
  <si>
    <t>CARGO</t>
  </si>
  <si>
    <t>FIRMA</t>
  </si>
  <si>
    <t>REVISO</t>
  </si>
  <si>
    <t>APROBÓ</t>
  </si>
  <si>
    <t xml:space="preserve">TENOLOGÍA EN ANALISIS Y GESTIÓN DE DATOS </t>
  </si>
  <si>
    <t>Resolución de Ejercicios y Problemas.
Aprendizaje Basado en Problemas.</t>
  </si>
  <si>
    <t>Con la rúbrica como herramienta de evaluación de los aprendizajes adquiridos, se evidenciará:
A.) La aplicación precisa de procedimientos seleccionados
B.) La comprensión y aplicación de conceptos teóricos relevantes para la resolución del problema, incluyendo la precisión en el uso de fórmulas, teoremas o principios pertinentes.
C.) La correcta interpretación de los datos, las condiciones del problema y los resultados alcanzados.</t>
  </si>
  <si>
    <t xml:space="preserve">Con la rúbrica como herramienta de evaluación del desempeño se evidenciará:
A.) La claridad en la presentación del razonamiento.
B.) La  metodología utilizada para llegar a la solución.
C.) la capacidad para identificar y manejar adecuadamente las etapas. del proceso de resolución.
D.) la eficiencia en el uso de recursos y tiempo. </t>
  </si>
  <si>
    <t xml:space="preserve">Utilizando la rúbrica como herramienta de evaluación, se valorara en el informe final,  la solución numérica o analítica correcta, la verificación de la solución para asegurar su validez, la presentación adecuada de los resultados con unidades correctas y cifras significativas, así como la interpretación de las implicaciones de la solución dentro del contexto del problema planteado
El informe final puede ser 
Productos Tangibles:
Informes, documentos técnicos, manuales o presentaciones que documentan el proceso y los resultados del problema.
Presentaciones o Demostraciones:
Exposiciones públicas, presentaciones orales o demostraciones ante compañeros
Portafolios:
Recopilación de trabajos,  análisis, investigaciones y reflexiones relacionadas con el problema.
Evaluaciones ecritas </t>
  </si>
  <si>
    <r>
      <rPr>
        <b/>
        <sz val="11"/>
        <rFont val="Aptos Narrow"/>
        <family val="2"/>
        <scheme val="minor"/>
      </rPr>
      <t>Resolución de Ejercicios y Problemas.</t>
    </r>
    <r>
      <rPr>
        <sz val="11"/>
        <rFont val="Aptos Narrow"/>
        <family val="2"/>
        <scheme val="minor"/>
      </rPr>
      <t xml:space="preserve">
1. Reconocimiento del problema. Comprensión.
2. Análisis, búsqueda y selección del procedimiento o plan de resolución.
3. Aplicación del procedimiento o plan seleccionado.
4. Comprobación e interpretación del resultado.
</t>
    </r>
    <r>
      <rPr>
        <b/>
        <sz val="11"/>
        <rFont val="Aptos Narrow"/>
        <family val="2"/>
        <scheme val="minor"/>
      </rPr>
      <t xml:space="preserve">Aprendizaje Basado en Problemas. 
</t>
    </r>
    <r>
      <rPr>
        <sz val="11"/>
        <rFont val="Aptos Narrow"/>
        <family val="2"/>
        <scheme val="minor"/>
      </rPr>
      <t>1. Leer y analizar el escenario o situación problema
2. Identificar los objetivos de aprendizaje 
3. Identificar el conocimiento necesario previo y, reconocer saberes que requieren mayor profundización para lograr su solución.
4. Elaborar un esquema o representación que le permita comprender el problema.
5. Elaborar un diagnóstico que le permita una aproximación a la solución del problema.
6. Elaborar un plan de trabajo para abordar el problema
7. Recopilar información sobre el problema
8. Analizar la información recogida
9. Plantear los posibles resultados y evaluar su capacidad para abordar el problema
10. Desarrollar procesos de retroalimentación que lo lleven a verificar la solución del problema o nuevas hipótesis 
11. Reflexionar sobre el desempeño individual y grupal durante el desarrollo de la actividad.</t>
    </r>
  </si>
  <si>
    <t>Aula virtual</t>
  </si>
  <si>
    <t xml:space="preserve">Microsoft 365, incluye Microsoft Office (Word, Excel, PowerPoint, Publisher, Access, Power BI, OneNote, Outlook, Project y Visio), Licencia Universitaria. </t>
  </si>
  <si>
    <t>EBSCO Information Services</t>
  </si>
  <si>
    <t>E-Collection (ISO) (iCONTEC)</t>
  </si>
  <si>
    <t>E Libro</t>
  </si>
  <si>
    <t>https://www.unicafam.edu.co/index.php/biblioteca-craiin/</t>
  </si>
  <si>
    <t>Software https://www.mathworks.com/products/matlab.html</t>
  </si>
  <si>
    <t>Software GeoGebra License; Non-commercial freeware; portions under General Public License (GPL).</t>
  </si>
  <si>
    <t>Presencial Asistida por Tecnología
PAT</t>
  </si>
  <si>
    <t>ANALÍTICA DESCRÍPTIVA II</t>
  </si>
  <si>
    <t>Específica</t>
  </si>
  <si>
    <t>Hay una diversidad de problemas que son modelados y resueltos a través de modelos probabilísticos ya establecidos, por lo que resulta importante que el científico de datos domine el cálculo de analíticas descriptivas, en particular técnicas de inferencia. Esta unidad de aprendizaje contribuye a desarrollar un pensamiento lógico y algorítmico al modelar fenómenos aleatorios resolviendo problemas en los que interviene la incertidumbre y al mismo tiempo hacer inferencias sobre estos, para la toma de decisiones.</t>
  </si>
  <si>
    <t>Procesar datos que permitan identificar patrones y generar hipótesis sobre la relación entre estos.</t>
  </si>
  <si>
    <r>
      <rPr>
        <b/>
        <sz val="11"/>
        <rFont val="Aptos Narrow"/>
        <family val="2"/>
        <scheme val="minor"/>
      </rPr>
      <t xml:space="preserve">1. Distribuciones de Probabilidad </t>
    </r>
    <r>
      <rPr>
        <sz val="11"/>
        <rFont val="Aptos Narrow"/>
        <family val="2"/>
        <scheme val="minor"/>
      </rPr>
      <t xml:space="preserve">
1.1.        Distribución normal - distribución Z
1.2.	Distribución t student
1.3.	Distribución F
</t>
    </r>
    <r>
      <rPr>
        <b/>
        <sz val="11"/>
        <rFont val="Aptos Narrow"/>
        <family val="2"/>
        <scheme val="minor"/>
      </rPr>
      <t xml:space="preserve">2. Estadística inferencial - estimación de parámetros        </t>
    </r>
    <r>
      <rPr>
        <sz val="11"/>
        <rFont val="Aptos Narrow"/>
        <family val="2"/>
        <scheme val="minor"/>
      </rPr>
      <t xml:space="preserve">                      
2.1. Inferencia estadística para una muestra 
2.1.1. Distribución muestral de la proporción 
2.1.2. Distribución muestral de la varianza
2.2. Inferencia estadística para la media 
2.3. Inferencia estadística para la proporción 
2.4. Prueba de bondad de ajuste
2.5. Inferencia estadística para dos muestras 
2.5.1 Distribución muestral para la diferencia de medias
2.5.2 Distribución muestral para la diferencia de proporciones 
2.5.3. Distribución muestral para la razón entre varianzas 
2.6. Inferencia estadística para la diferencia de medias 
2.7. Inferencia estadística para la diferencia de proporciones 
2.8. Inferencia Regresión lineal simple - mínimos cuadrados</t>
    </r>
  </si>
  <si>
    <t>Capacidad para utilizar y aplicar la distribución normal y la distribución Z en la resolución de problemas estadísticos.
Habilidad para aplicar la distribución t de Student en la estimación y pruebas de hipótesis para muestras pequeñas.
Capacidad para estimar parámetros poblacionales (media, proporción, varianza) a partir de muestras utilizando métodos estadísticos adecuados.
Comprender y aplicar la distribución muestral de la proporción en la estimación y pruebas de hipótesis.
Habilidad para formular y llevar a cabo pruebas de hipótesis para la media, proporción y varianza de una población, utilizando distribuciones apropiadas (Z, t, F).
Uso de la distribución F para analizar la razón entre varianzas de dos muestras.
Habilidad para aplicar el método de mínimos cuadrados en la regresión lineal simple, interpretando los coeficientes de regresión y evaluando la bondad del ajuste.</t>
  </si>
  <si>
    <t>Manifiesta disposición y actitud positiva hacia el aprendizaje de la estadística, en particular de la analítica descriptiva
Reconoce en  las matemáticas un oportunidad de crecimiento intelectual y profesional
Demuestra rigor en la elaboración de problemas matemáticos. Demuestra orden y pulcritud en la presentación de sus trabajos.</t>
  </si>
  <si>
    <t>Construye sus metas de aprendizaje para el desarrollo de la unidad.
Aplica y reflexiona sobre las estrategias que le permiten acceder, manejar y transformar sus conocimientos.
Reflexiona, verifica y autorregula su aprendizaje</t>
  </si>
  <si>
    <t>Aplicar correctamente las distribuciones de probabilidad (normal, t de Student y F) en el análisis estadístico.</t>
  </si>
  <si>
    <t>Define y explica detalladamente las distribuciones de probabilidad normal, t de Student y F, aplica correctamente estas distribuciones en diversos problemas estadísticos complejos y justifica sus elecciones con precisión.</t>
  </si>
  <si>
    <t>Define y explica las características básicas de las distribuciones normal, t de Student y F, aplica estas distribuciones en problemas estadísticos sencillos con algunos errores menores y justifica parcialmente sus elecciones.</t>
  </si>
  <si>
    <t>Define y explica superficialmente las distribuciones normal, t de Student y F, muestra dificultades para aplicar estas distribuciones y justifica sus elecciones con errores frecuentes.</t>
  </si>
  <si>
    <t xml:space="preserve">Formular y llevar a cabo pruebas de hipótesis para una muestra y para dos muestras.
</t>
  </si>
  <si>
    <t>Formula correctamente hipótesis nulas y alternativas, lleva a cabo pruebas de hipótesis para la media, proporción y varianza de una muestra, y para la diferencia de medias, proporciones y varianzas entre dos muestras, interpretando los resultados con precisión.</t>
  </si>
  <si>
    <t>Formula hipótesis nulas y alternativas con algunos errores menores, lleva a cabo pruebas de hipótesis básicas para la media, proporción y varianza de una muestra, y para la diferencia de medias y proporciones entre dos muestras, con algunos errores en la interpretación de los resultados.</t>
  </si>
  <si>
    <t>Formula hipótesis nulas y alternativas con errores frecuentes, muestra dificultades para llevar a cabo pruebas de hipótesis y presenta interpretaciones incorrectas de los resultados.</t>
  </si>
  <si>
    <t xml:space="preserve">Realizar pruebas de bondad de ajuste para evaluar distribuciones de datos.
</t>
  </si>
  <si>
    <t>Explica detalladamente el procedimiento para realizar pruebas de bondad de ajuste, aplica estas pruebas correctamente en diversos conjuntos de datos y evalúa con precisión si los datos siguen una distribución específica.</t>
  </si>
  <si>
    <t>Explica el procedimiento básico para realizar pruebas de bondad de ajuste, aplica estas pruebas en conjuntos de datos sencillos con algunos errores menores y evalúa parcialmente si los datos siguen una distribución específica.</t>
  </si>
  <si>
    <t>Explica superficialmente el procedimiento para realizar pruebas de bondad de ajuste, muestra dificultades para aplicar estas pruebas correctamente y evalúa incorrectamente si los datos siguen una distribución específica.</t>
  </si>
  <si>
    <t>Aplicar la regresión lineal simple utilizando el método de mínimos cuadrados.</t>
  </si>
  <si>
    <t>Explica detalladamente el método de mínimos cuadrados, aplica la regresión lineal simple en diversos conjuntos de datos, interpreta correctamente los coeficientes de regresión y evalúa la bondad del ajuste.</t>
  </si>
  <si>
    <t>Explica el método de mínimos cuadrados de manera básica, aplica la regresión lineal simple en conjuntos de datos sencillos con algunos errores menores y interpreta parcialmente los coeficientes de regresión y la bondad del ajuste.</t>
  </si>
  <si>
    <t>Explica superficialmente el método de mínimos cuadrados, muestra dificultades para aplicar la regresión lineal simple y presenta interpretaciones incorrectas de los coeficientes de regresión y la bondad del ajuste.</t>
  </si>
  <si>
    <t>RA2 Identifica las relaciones existentes entre los datos para proponer hipótesis.</t>
  </si>
  <si>
    <t>Lind, D., Marchal, W., Wathen S. (2015). Estadística aplicada a los negocios y la economía .  Mac Graw Hill</t>
  </si>
  <si>
    <t>Newbold, P,. (2008) Estadística para administración y economía . Pearson- Prentice Hall</t>
  </si>
  <si>
    <t>Montgomery, D. (2009).  Probabilidad y estadística aplicadas a la ingeniería.  Limusa Wiley,</t>
  </si>
  <si>
    <t>Mendenhall, W. (2010).   Introducción a la probabilidad y estadística.  Cengage Learning</t>
  </si>
  <si>
    <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</si>
</sst>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Verdana"/>
      <family val="2"/>
    </font>
    <font>
      <b/>
      <sz val="11"/>
      <color rgb="FFFFFFFF"/>
      <name val="Verdana"/>
      <family val="2"/>
    </font>
    <font>
      <b/>
      <sz val="11"/>
      <color rgb="FF000000"/>
      <name val="Verdana"/>
      <family val="2"/>
    </font>
    <font>
      <b/>
      <sz val="12"/>
      <color theme="1"/>
      <name val="Aptos Narrow"/>
      <family val="2"/>
      <scheme val="minor"/>
    </font>
    <font>
      <b/>
      <sz val="12"/>
      <color rgb="FF000000"/>
      <name val="Aptos Narrow"/>
      <family val="2"/>
      <scheme val="minor"/>
    </font>
    <font>
      <b/>
      <sz val="11"/>
      <color rgb="FF000000"/>
      <name val="Aptos Narrow"/>
      <family val="2"/>
      <scheme val="minor"/>
    </font>
    <font>
      <sz val="11"/>
      <color rgb="FF000000"/>
      <name val="Aptos Narrow"/>
      <family val="2"/>
      <scheme val="minor"/>
    </font>
    <font>
      <b/>
      <sz val="11"/>
      <name val="Aptos Narrow"/>
      <family val="2"/>
      <scheme val="minor"/>
    </font>
    <font>
      <b/>
      <sz val="10"/>
      <color rgb="FF000000"/>
      <name val="Aptos Narrow"/>
      <family val="2"/>
      <scheme val="minor"/>
    </font>
    <font>
      <sz val="9"/>
      <color rgb="FF000000"/>
      <name val="Aptos Narrow"/>
      <family val="2"/>
      <scheme val="minor"/>
    </font>
    <font>
      <sz val="11"/>
      <name val="Aptos Narrow"/>
      <family val="2"/>
      <scheme val="minor"/>
    </font>
    <font>
      <sz val="11"/>
      <color rgb="FF000000"/>
      <name val="Calibri"/>
      <family val="2"/>
    </font>
    <font>
      <b/>
      <sz val="11"/>
      <color theme="0"/>
      <name val="Verdana"/>
      <family val="2"/>
    </font>
    <font>
      <sz val="11"/>
      <color theme="1"/>
      <name val="Verdana"/>
      <family val="2"/>
    </font>
    <font>
      <sz val="11"/>
      <color rgb="FF2C2C2C"/>
      <name val="Aptos Narrow"/>
      <family val="2"/>
      <scheme val="minor"/>
    </font>
  </fonts>
  <fills count="7">
    <fill>
      <patternFill patternType="none"/>
    </fill>
    <fill>
      <patternFill patternType="gray125"/>
    </fill>
    <fill>
      <patternFill patternType="solid">
        <fgColor rgb="FF1F4E78"/>
        <bgColor rgb="FF000000"/>
      </patternFill>
    </fill>
    <fill>
      <patternFill patternType="solid">
        <fgColor theme="0" tint="-0.249977111117893"/>
        <bgColor indexed="64"/>
      </patternFill>
    </fill>
    <fill>
      <patternFill patternType="solid">
        <fgColor theme="0"/>
        <bgColor indexed="64"/>
      </patternFill>
    </fill>
    <fill>
      <patternFill patternType="solid">
        <fgColor rgb="FFBDD7EE"/>
        <bgColor indexed="64"/>
      </patternFill>
    </fill>
    <fill>
      <patternFill patternType="solid">
        <fgColor rgb="FF1F4E78"/>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medium">
        <color indexed="64"/>
      </left>
      <right style="thin">
        <color indexed="64"/>
      </right>
      <top/>
      <bottom/>
      <diagonal/>
    </border>
    <border>
      <left style="thin">
        <color auto="1"/>
      </left>
      <right/>
      <top/>
      <bottom style="thin">
        <color auto="1"/>
      </bottom>
      <diagonal/>
    </border>
    <border>
      <left style="medium">
        <color indexed="64"/>
      </left>
      <right/>
      <top/>
      <bottom style="thin">
        <color indexed="64"/>
      </bottom>
      <diagonal/>
    </border>
    <border>
      <left/>
      <right style="medium">
        <color indexed="64"/>
      </right>
      <top/>
      <bottom/>
      <diagonal/>
    </border>
    <border>
      <left style="medium">
        <color indexed="64"/>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auto="1"/>
      </top>
      <bottom/>
      <diagonal/>
    </border>
    <border>
      <left style="thin">
        <color auto="1"/>
      </left>
      <right style="medium">
        <color auto="1"/>
      </right>
      <top/>
      <bottom/>
      <diagonal/>
    </border>
    <border>
      <left/>
      <right style="medium">
        <color indexed="64"/>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150">
    <xf numFmtId="0" fontId="0" fillId="0" borderId="0" xfId="0"/>
    <xf numFmtId="0" fontId="3" fillId="0" borderId="1" xfId="0" applyFont="1" applyBorder="1" applyAlignment="1">
      <alignment horizontal="center" vertical="center" wrapText="1"/>
    </xf>
    <xf numFmtId="0" fontId="0" fillId="3" borderId="0" xfId="0" applyFill="1"/>
    <xf numFmtId="0" fontId="4" fillId="2"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8" fillId="5" borderId="7" xfId="0" applyFont="1" applyFill="1" applyBorder="1" applyAlignment="1">
      <alignment horizontal="left" vertical="center" wrapText="1"/>
    </xf>
    <xf numFmtId="0" fontId="8" fillId="5" borderId="8" xfId="0" applyFont="1" applyFill="1" applyBorder="1" applyAlignment="1">
      <alignment horizontal="center" vertical="center" wrapText="1"/>
    </xf>
    <xf numFmtId="0" fontId="8" fillId="5" borderId="10" xfId="0" applyFont="1" applyFill="1" applyBorder="1" applyAlignment="1">
      <alignment horizontal="left" vertical="center" wrapText="1"/>
    </xf>
    <xf numFmtId="0" fontId="9" fillId="0" borderId="0" xfId="0" applyFont="1" applyAlignment="1">
      <alignment horizontal="center" vertical="center" wrapText="1"/>
    </xf>
    <xf numFmtId="0" fontId="0" fillId="0" borderId="32" xfId="0" applyBorder="1"/>
    <xf numFmtId="0" fontId="15" fillId="6" borderId="1" xfId="0" applyFont="1" applyFill="1" applyBorder="1" applyAlignment="1" applyProtection="1">
      <alignment horizontal="center" vertical="center" wrapText="1"/>
      <protection hidden="1"/>
    </xf>
    <xf numFmtId="0" fontId="15" fillId="6" borderId="36" xfId="0" applyFont="1" applyFill="1" applyBorder="1" applyAlignment="1" applyProtection="1">
      <alignment horizontal="center" vertical="center" wrapText="1"/>
      <protection hidden="1"/>
    </xf>
    <xf numFmtId="0" fontId="15" fillId="6" borderId="21" xfId="0" applyFont="1" applyFill="1" applyBorder="1" applyAlignment="1" applyProtection="1">
      <alignment horizontal="center" vertical="center" wrapText="1"/>
      <protection hidden="1"/>
    </xf>
    <xf numFmtId="0" fontId="16" fillId="0" borderId="1" xfId="0" applyFont="1" applyBorder="1" applyAlignment="1" applyProtection="1">
      <alignment horizontal="center" vertical="center" wrapText="1"/>
      <protection hidden="1"/>
    </xf>
    <xf numFmtId="0" fontId="16" fillId="0" borderId="36" xfId="0" applyFont="1" applyBorder="1" applyAlignment="1" applyProtection="1">
      <alignment horizontal="center" vertical="center" wrapText="1"/>
      <protection hidden="1"/>
    </xf>
    <xf numFmtId="0" fontId="16" fillId="3" borderId="0" xfId="0" applyFont="1" applyFill="1" applyAlignment="1">
      <alignment horizontal="center" vertical="center"/>
    </xf>
    <xf numFmtId="0" fontId="13" fillId="0" borderId="21" xfId="1" applyFont="1" applyBorder="1" applyAlignment="1">
      <alignment horizontal="left" vertical="center" wrapText="1"/>
    </xf>
    <xf numFmtId="0" fontId="14" fillId="0" borderId="23" xfId="1" applyFont="1" applyBorder="1" applyAlignment="1">
      <alignment horizontal="left" vertical="center" wrapText="1"/>
    </xf>
    <xf numFmtId="0" fontId="9" fillId="0" borderId="28" xfId="0" applyFont="1" applyBorder="1" applyAlignment="1">
      <alignment horizontal="center" vertical="center" wrapText="1"/>
    </xf>
    <xf numFmtId="0" fontId="0" fillId="0" borderId="28" xfId="0" applyBorder="1"/>
    <xf numFmtId="0" fontId="0" fillId="0" borderId="40" xfId="0" applyBorder="1"/>
    <xf numFmtId="0" fontId="13" fillId="0" borderId="41" xfId="1" applyFont="1" applyBorder="1" applyAlignment="1">
      <alignment horizontal="left" vertical="center" wrapText="1"/>
    </xf>
    <xf numFmtId="0" fontId="13" fillId="0" borderId="32" xfId="1" applyFont="1" applyBorder="1" applyAlignment="1">
      <alignment horizontal="left" vertical="center" wrapText="1"/>
    </xf>
    <xf numFmtId="0" fontId="14" fillId="0" borderId="11" xfId="1" applyFont="1" applyBorder="1" applyAlignment="1">
      <alignment vertical="center" wrapText="1"/>
    </xf>
    <xf numFmtId="0" fontId="13" fillId="0" borderId="12" xfId="1" applyFont="1" applyBorder="1" applyAlignment="1">
      <alignment vertical="center" wrapText="1"/>
    </xf>
    <xf numFmtId="0" fontId="13" fillId="0" borderId="13" xfId="1" applyFont="1" applyBorder="1" applyAlignment="1">
      <alignment vertical="center" wrapText="1"/>
    </xf>
    <xf numFmtId="0" fontId="9" fillId="0" borderId="23" xfId="0" applyFont="1" applyBorder="1" applyAlignment="1">
      <alignment horizontal="left" vertical="center"/>
    </xf>
    <xf numFmtId="0" fontId="13" fillId="0" borderId="0" xfId="1" applyFont="1" applyAlignment="1">
      <alignment horizontal="left" vertical="center" wrapText="1"/>
    </xf>
    <xf numFmtId="0" fontId="13" fillId="0" borderId="34" xfId="1" applyFont="1" applyBorder="1" applyAlignment="1">
      <alignment vertical="center" wrapText="1"/>
    </xf>
    <xf numFmtId="0" fontId="14" fillId="0" borderId="23" xfId="1" applyFont="1" applyBorder="1" applyAlignment="1">
      <alignment horizontal="left" vertical="center"/>
    </xf>
    <xf numFmtId="0" fontId="13" fillId="0" borderId="43" xfId="1" applyFont="1" applyBorder="1" applyAlignment="1">
      <alignment vertical="center" wrapText="1"/>
    </xf>
    <xf numFmtId="0" fontId="8" fillId="5" borderId="1" xfId="0" applyFont="1" applyFill="1" applyBorder="1" applyAlignment="1">
      <alignment horizontal="center" vertical="center" wrapText="1"/>
    </xf>
    <xf numFmtId="0" fontId="13" fillId="4" borderId="1" xfId="0" applyFont="1" applyFill="1" applyBorder="1" applyAlignment="1">
      <alignment horizontal="left" vertical="center" wrapText="1"/>
    </xf>
    <xf numFmtId="0" fontId="13" fillId="4" borderId="8" xfId="0" applyFont="1" applyFill="1" applyBorder="1" applyAlignment="1">
      <alignment horizontal="left" vertical="center" wrapText="1"/>
    </xf>
    <xf numFmtId="0" fontId="13" fillId="4" borderId="44" xfId="0" applyFont="1" applyFill="1" applyBorder="1" applyAlignment="1">
      <alignment horizontal="left" vertical="center" wrapText="1"/>
    </xf>
    <xf numFmtId="0" fontId="13" fillId="0" borderId="30" xfId="0" applyFont="1" applyBorder="1" applyAlignment="1">
      <alignment horizontal="left" vertical="center" wrapText="1"/>
    </xf>
    <xf numFmtId="0" fontId="0" fillId="0" borderId="1" xfId="0" applyBorder="1" applyAlignment="1">
      <alignment vertical="center" wrapText="1"/>
    </xf>
    <xf numFmtId="0" fontId="13" fillId="0" borderId="45" xfId="0" applyFont="1" applyBorder="1" applyAlignment="1">
      <alignment horizontal="left" vertical="center" wrapText="1"/>
    </xf>
    <xf numFmtId="0" fontId="0" fillId="0" borderId="0" xfId="0" applyAlignment="1">
      <alignment vertical="center" wrapText="1"/>
    </xf>
    <xf numFmtId="0" fontId="13" fillId="0" borderId="8" xfId="0" applyFont="1" applyBorder="1" applyAlignment="1">
      <alignment horizontal="left" vertical="center" wrapText="1"/>
    </xf>
    <xf numFmtId="0" fontId="9" fillId="0" borderId="30" xfId="1" applyFont="1" applyBorder="1" applyAlignment="1">
      <alignment vertical="center"/>
    </xf>
    <xf numFmtId="0" fontId="9" fillId="0" borderId="20" xfId="1" applyFont="1" applyBorder="1" applyAlignment="1">
      <alignment horizontal="left" vertical="center"/>
    </xf>
    <xf numFmtId="0" fontId="9" fillId="0" borderId="23" xfId="1" applyFont="1" applyBorder="1" applyAlignment="1">
      <alignment horizontal="left" vertical="center"/>
    </xf>
    <xf numFmtId="0" fontId="17" fillId="0" borderId="23" xfId="0" applyFont="1" applyBorder="1"/>
    <xf numFmtId="0" fontId="13" fillId="0" borderId="26" xfId="0" applyFont="1" applyBorder="1" applyAlignment="1" applyProtection="1">
      <alignment horizontal="left" vertical="top"/>
      <protection locked="0"/>
    </xf>
    <xf numFmtId="0" fontId="13" fillId="0" borderId="23" xfId="0" applyFont="1" applyBorder="1" applyAlignment="1" applyProtection="1">
      <alignment horizontal="left" vertical="top"/>
      <protection locked="0"/>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5" borderId="2"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9" fillId="0" borderId="3" xfId="0" applyFont="1" applyBorder="1" applyAlignment="1">
      <alignment horizontal="left" vertical="center" wrapText="1"/>
    </xf>
    <xf numFmtId="0" fontId="9" fillId="0" borderId="1" xfId="0" applyFont="1" applyBorder="1" applyAlignment="1">
      <alignment horizontal="left" vertical="center" wrapText="1"/>
    </xf>
    <xf numFmtId="0" fontId="8" fillId="5" borderId="3"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10" fillId="5" borderId="3" xfId="1" applyFont="1" applyFill="1" applyBorder="1" applyAlignment="1">
      <alignment horizontal="center" vertical="center" wrapText="1"/>
    </xf>
    <xf numFmtId="0" fontId="10" fillId="5" borderId="1" xfId="1" applyFont="1" applyFill="1" applyBorder="1" applyAlignment="1">
      <alignment horizontal="center" vertical="center" wrapText="1"/>
    </xf>
    <xf numFmtId="0" fontId="11" fillId="5" borderId="3"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0" borderId="4" xfId="0" applyFont="1" applyBorder="1" applyAlignment="1">
      <alignment horizontal="center" vertical="center" wrapText="1"/>
    </xf>
    <xf numFmtId="0" fontId="12" fillId="0" borderId="6" xfId="0" applyFont="1" applyBorder="1" applyAlignment="1">
      <alignment horizontal="center" vertical="center" wrapText="1"/>
    </xf>
    <xf numFmtId="0" fontId="3" fillId="0" borderId="1" xfId="0" applyFont="1" applyBorder="1" applyAlignment="1">
      <alignment horizontal="center" vertical="center" wrapText="1"/>
    </xf>
    <xf numFmtId="0" fontId="4" fillId="2" borderId="1" xfId="0"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0" fillId="4" borderId="1" xfId="0" applyFill="1" applyBorder="1" applyAlignment="1">
      <alignment horizontal="center"/>
    </xf>
    <xf numFmtId="0" fontId="8" fillId="5" borderId="16"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25"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8" xfId="1" applyFont="1" applyFill="1" applyBorder="1" applyAlignment="1">
      <alignment horizontal="center" vertical="center" wrapText="1"/>
    </xf>
    <xf numFmtId="0" fontId="8" fillId="5" borderId="19" xfId="1" applyFont="1" applyFill="1" applyBorder="1" applyAlignment="1">
      <alignment horizontal="center" vertical="center" wrapText="1"/>
    </xf>
    <xf numFmtId="0" fontId="13" fillId="4" borderId="5" xfId="0" applyFont="1" applyFill="1" applyBorder="1" applyAlignment="1">
      <alignment vertical="center" wrapText="1"/>
    </xf>
    <xf numFmtId="0" fontId="13" fillId="4" borderId="1" xfId="0" applyFont="1" applyFill="1" applyBorder="1" applyAlignment="1">
      <alignment vertical="center" wrapText="1"/>
    </xf>
    <xf numFmtId="0" fontId="13" fillId="4" borderId="7" xfId="0" applyFont="1" applyFill="1" applyBorder="1" applyAlignment="1">
      <alignment vertical="center" wrapText="1"/>
    </xf>
    <xf numFmtId="0" fontId="13" fillId="4" borderId="8" xfId="0" applyFont="1" applyFill="1" applyBorder="1" applyAlignment="1">
      <alignment vertical="center" wrapText="1"/>
    </xf>
    <xf numFmtId="0" fontId="13" fillId="4" borderId="20" xfId="0" applyFont="1" applyFill="1" applyBorder="1" applyAlignment="1">
      <alignment vertical="top" wrapText="1"/>
    </xf>
    <xf numFmtId="0" fontId="13" fillId="4" borderId="21" xfId="0" applyFont="1" applyFill="1" applyBorder="1" applyAlignment="1">
      <alignment vertical="top" wrapText="1"/>
    </xf>
    <xf numFmtId="0" fontId="13" fillId="4" borderId="22" xfId="0" applyFont="1" applyFill="1" applyBorder="1" applyAlignment="1">
      <alignment vertical="top" wrapText="1"/>
    </xf>
    <xf numFmtId="0" fontId="13" fillId="4" borderId="23" xfId="0" applyFont="1" applyFill="1" applyBorder="1" applyAlignment="1">
      <alignment vertical="top" wrapText="1"/>
    </xf>
    <xf numFmtId="0" fontId="13" fillId="4" borderId="0" xfId="0" applyFont="1" applyFill="1" applyAlignment="1">
      <alignment vertical="top" wrapText="1"/>
    </xf>
    <xf numFmtId="0" fontId="13" fillId="4" borderId="24" xfId="0" applyFont="1" applyFill="1" applyBorder="1" applyAlignment="1">
      <alignment vertical="top" wrapText="1"/>
    </xf>
    <xf numFmtId="0" fontId="13" fillId="4" borderId="11" xfId="0" applyFont="1" applyFill="1" applyBorder="1" applyAlignment="1">
      <alignment vertical="top" wrapText="1"/>
    </xf>
    <xf numFmtId="0" fontId="13" fillId="4" borderId="12" xfId="0" applyFont="1" applyFill="1" applyBorder="1" applyAlignment="1">
      <alignment vertical="top" wrapText="1"/>
    </xf>
    <xf numFmtId="0" fontId="13" fillId="4" borderId="25" xfId="0" applyFont="1" applyFill="1" applyBorder="1" applyAlignment="1">
      <alignment vertical="top" wrapText="1"/>
    </xf>
    <xf numFmtId="0" fontId="13" fillId="4" borderId="3"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3" fillId="4" borderId="8" xfId="0" applyFont="1" applyFill="1" applyBorder="1" applyAlignment="1">
      <alignment horizontal="left" vertical="center" wrapText="1"/>
    </xf>
    <xf numFmtId="0" fontId="13" fillId="4" borderId="21" xfId="0" applyFont="1" applyFill="1" applyBorder="1" applyAlignment="1">
      <alignment horizontal="left" vertical="top" wrapText="1"/>
    </xf>
    <xf numFmtId="0" fontId="13" fillId="4" borderId="22" xfId="0" applyFont="1" applyFill="1" applyBorder="1" applyAlignment="1">
      <alignment horizontal="left" vertical="top" wrapText="1"/>
    </xf>
    <xf numFmtId="0" fontId="13" fillId="4" borderId="0" xfId="0" applyFont="1" applyFill="1" applyAlignment="1">
      <alignment horizontal="left" vertical="top" wrapText="1"/>
    </xf>
    <xf numFmtId="0" fontId="13" fillId="4" borderId="24" xfId="0" applyFont="1" applyFill="1" applyBorder="1" applyAlignment="1">
      <alignment horizontal="left" vertical="top" wrapText="1"/>
    </xf>
    <xf numFmtId="0" fontId="13" fillId="4" borderId="12" xfId="0" applyFont="1" applyFill="1" applyBorder="1" applyAlignment="1">
      <alignment horizontal="left" vertical="top" wrapText="1"/>
    </xf>
    <xf numFmtId="0" fontId="13" fillId="4" borderId="25" xfId="0" applyFont="1" applyFill="1" applyBorder="1" applyAlignment="1">
      <alignment horizontal="left" vertical="top" wrapText="1"/>
    </xf>
    <xf numFmtId="0" fontId="13" fillId="4" borderId="20" xfId="0" applyFont="1" applyFill="1" applyBorder="1" applyAlignment="1">
      <alignment horizontal="left" vertical="top" wrapText="1"/>
    </xf>
    <xf numFmtId="0" fontId="13" fillId="4" borderId="41" xfId="0" applyFont="1" applyFill="1" applyBorder="1" applyAlignment="1">
      <alignment horizontal="left" vertical="top" wrapText="1"/>
    </xf>
    <xf numFmtId="0" fontId="13" fillId="4" borderId="23" xfId="0" applyFont="1" applyFill="1" applyBorder="1" applyAlignment="1">
      <alignment horizontal="left" vertical="top" wrapText="1"/>
    </xf>
    <xf numFmtId="0" fontId="13" fillId="4" borderId="32" xfId="0" applyFont="1" applyFill="1" applyBorder="1" applyAlignment="1">
      <alignment horizontal="left" vertical="top" wrapText="1"/>
    </xf>
    <xf numFmtId="0" fontId="13" fillId="4" borderId="11" xfId="0" applyFont="1" applyFill="1" applyBorder="1" applyAlignment="1">
      <alignment horizontal="left" vertical="top" wrapText="1"/>
    </xf>
    <xf numFmtId="0" fontId="13" fillId="4" borderId="13" xfId="0" applyFont="1" applyFill="1" applyBorder="1" applyAlignment="1">
      <alignment horizontal="left" vertical="top" wrapText="1"/>
    </xf>
    <xf numFmtId="0" fontId="8" fillId="5" borderId="26" xfId="0" applyFont="1" applyFill="1" applyBorder="1" applyAlignment="1">
      <alignment horizontal="center" vertical="center" wrapText="1"/>
    </xf>
    <xf numFmtId="0" fontId="8" fillId="5" borderId="27"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3" fillId="0" borderId="26" xfId="0" applyFont="1" applyBorder="1" applyAlignment="1">
      <alignment horizontal="left" vertical="top" wrapText="1"/>
    </xf>
    <xf numFmtId="0" fontId="13" fillId="0" borderId="27" xfId="0" applyFont="1" applyBorder="1" applyAlignment="1">
      <alignment horizontal="left" vertical="top" wrapText="1"/>
    </xf>
    <xf numFmtId="0" fontId="13" fillId="0" borderId="23" xfId="0" applyFont="1" applyBorder="1" applyAlignment="1">
      <alignment horizontal="left" vertical="top" wrapText="1"/>
    </xf>
    <xf numFmtId="0" fontId="13" fillId="0" borderId="24" xfId="0" applyFont="1" applyBorder="1" applyAlignment="1">
      <alignment horizontal="left" vertical="top" wrapText="1"/>
    </xf>
    <xf numFmtId="0" fontId="15" fillId="6" borderId="21" xfId="0" applyFont="1" applyFill="1" applyBorder="1" applyAlignment="1" applyProtection="1">
      <alignment horizontal="center" vertical="center" wrapText="1"/>
      <protection hidden="1"/>
    </xf>
    <xf numFmtId="0" fontId="15" fillId="6" borderId="22" xfId="0" applyFont="1" applyFill="1" applyBorder="1" applyAlignment="1" applyProtection="1">
      <alignment horizontal="center" vertical="center" wrapText="1"/>
      <protection hidden="1"/>
    </xf>
    <xf numFmtId="0" fontId="16" fillId="0" borderId="1" xfId="0" applyFont="1" applyBorder="1" applyAlignment="1" applyProtection="1">
      <alignment horizontal="center" vertical="center" wrapText="1"/>
      <protection hidden="1"/>
    </xf>
    <xf numFmtId="0" fontId="8" fillId="5" borderId="37" xfId="0" applyFont="1" applyFill="1" applyBorder="1" applyAlignment="1">
      <alignment horizontal="center" vertical="center" wrapText="1"/>
    </xf>
    <xf numFmtId="0" fontId="8" fillId="5" borderId="33" xfId="0" applyFont="1" applyFill="1" applyBorder="1" applyAlignment="1">
      <alignment horizontal="center" vertical="center" wrapText="1"/>
    </xf>
    <xf numFmtId="0" fontId="8" fillId="5" borderId="38" xfId="0" applyFont="1" applyFill="1" applyBorder="1" applyAlignment="1">
      <alignment horizontal="center" vertical="center" wrapText="1"/>
    </xf>
    <xf numFmtId="0" fontId="15" fillId="6" borderId="35" xfId="0" applyFont="1" applyFill="1" applyBorder="1" applyAlignment="1" applyProtection="1">
      <alignment horizontal="center" vertical="center" wrapText="1"/>
      <protection hidden="1"/>
    </xf>
    <xf numFmtId="0" fontId="15" fillId="6" borderId="36" xfId="0" applyFont="1" applyFill="1" applyBorder="1" applyAlignment="1" applyProtection="1">
      <alignment horizontal="center" vertical="center" wrapText="1"/>
      <protection hidden="1"/>
    </xf>
    <xf numFmtId="0" fontId="15" fillId="6" borderId="1" xfId="0" applyFont="1" applyFill="1" applyBorder="1" applyAlignment="1" applyProtection="1">
      <alignment horizontal="center" vertical="center" wrapText="1"/>
      <protection hidden="1"/>
    </xf>
    <xf numFmtId="0" fontId="8" fillId="5" borderId="28" xfId="0" applyFont="1" applyFill="1" applyBorder="1" applyAlignment="1">
      <alignment horizontal="center" vertical="center" wrapText="1"/>
    </xf>
    <xf numFmtId="0" fontId="8" fillId="5" borderId="1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13" fillId="4" borderId="29" xfId="0" applyFont="1" applyFill="1" applyBorder="1" applyAlignment="1">
      <alignment horizontal="left" vertical="center" wrapText="1"/>
    </xf>
    <xf numFmtId="0" fontId="8" fillId="5" borderId="7"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13" fillId="0" borderId="42" xfId="0" applyFont="1" applyBorder="1" applyAlignment="1">
      <alignment horizontal="left" vertical="top" wrapText="1"/>
    </xf>
    <xf numFmtId="0" fontId="16" fillId="4" borderId="1" xfId="0" applyFont="1" applyFill="1" applyBorder="1" applyAlignment="1" applyProtection="1">
      <alignment horizontal="center" vertical="center" wrapText="1"/>
      <protection hidden="1"/>
    </xf>
    <xf numFmtId="0" fontId="8" fillId="5" borderId="39" xfId="0" applyFont="1" applyFill="1" applyBorder="1" applyAlignment="1">
      <alignment horizontal="center" vertical="center" wrapText="1"/>
    </xf>
    <xf numFmtId="0" fontId="8" fillId="5" borderId="31" xfId="0" applyFont="1" applyFill="1" applyBorder="1" applyAlignment="1">
      <alignment horizontal="center" vertical="center" wrapText="1"/>
    </xf>
    <xf numFmtId="0" fontId="15" fillId="6" borderId="30" xfId="0" applyFont="1" applyFill="1" applyBorder="1" applyAlignment="1" applyProtection="1">
      <alignment horizontal="center" vertical="center" wrapText="1"/>
      <protection hidden="1"/>
    </xf>
    <xf numFmtId="0" fontId="15" fillId="6" borderId="34" xfId="0" applyFont="1" applyFill="1" applyBorder="1" applyAlignment="1" applyProtection="1">
      <alignment horizontal="center" vertical="center" wrapText="1"/>
      <protection hidden="1"/>
    </xf>
    <xf numFmtId="0" fontId="13" fillId="0" borderId="46" xfId="0" applyFont="1" applyBorder="1" applyAlignment="1">
      <alignment horizontal="left" vertical="center" wrapText="1"/>
    </xf>
    <xf numFmtId="0" fontId="13" fillId="0" borderId="47" xfId="0" applyFont="1" applyBorder="1" applyAlignment="1">
      <alignment horizontal="left" vertical="center" wrapText="1"/>
    </xf>
    <xf numFmtId="0" fontId="8" fillId="5" borderId="1" xfId="0" applyFont="1" applyFill="1" applyBorder="1" applyAlignment="1">
      <alignment horizontal="left" vertical="center" wrapText="1"/>
    </xf>
    <xf numFmtId="0" fontId="13" fillId="0" borderId="1" xfId="1" applyFont="1" applyBorder="1" applyAlignment="1">
      <alignment horizontal="left" vertical="center" wrapText="1"/>
    </xf>
    <xf numFmtId="0" fontId="0" fillId="0" borderId="1" xfId="0" applyBorder="1" applyAlignment="1">
      <alignment horizontal="center" vertical="center"/>
    </xf>
    <xf numFmtId="0" fontId="8" fillId="5" borderId="5" xfId="0" applyFont="1" applyFill="1" applyBorder="1" applyAlignment="1">
      <alignment horizontal="left" vertical="center" wrapText="1"/>
    </xf>
    <xf numFmtId="1" fontId="13" fillId="0" borderId="6" xfId="0" applyNumberFormat="1" applyFont="1" applyBorder="1" applyAlignment="1">
      <alignment horizontal="center" vertical="center" wrapText="1"/>
    </xf>
    <xf numFmtId="0" fontId="13" fillId="0" borderId="48" xfId="0" applyFont="1" applyBorder="1" applyAlignment="1">
      <alignment horizontal="left" vertical="center" wrapText="1"/>
    </xf>
    <xf numFmtId="0" fontId="13" fillId="0" borderId="49" xfId="0" applyFont="1" applyBorder="1" applyAlignment="1">
      <alignment horizontal="left" vertical="center" wrapText="1"/>
    </xf>
    <xf numFmtId="0" fontId="13" fillId="0" borderId="50" xfId="0" applyFont="1" applyBorder="1" applyAlignment="1">
      <alignment horizontal="left" vertical="center" wrapText="1"/>
    </xf>
  </cellXfs>
  <cellStyles count="2">
    <cellStyle name="Normal" xfId="0" builtinId="0"/>
    <cellStyle name="Normal 2 4 3" xfId="1" xr:uid="{A797EE45-C6E0-4305-A551-670C70F191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externalLink" Target="externalLinks/externalLink2.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microsoft.com/office/2022/10/relationships/richValueRel" Target="richData/richValueRel.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row r="2">
          <cell r="B2" t="str">
            <v>Diseñar la infraestructura de las redes de datos, sistemas telemáticos y radiocomunicaciones, para cubrir los requerimientos, necesidades y funcionamiento de los sistemas de comunicaciones de las organizaciones, bajo condiciones de calidad, factibilidad técnica, económica y de sustentabilidad; teniendo en cuenta las Arquitecturas, estándares, modelos, marcos generales y legales de telecomunicaciones.</v>
          </cell>
        </row>
        <row r="3">
          <cell r="B3" t="str">
            <v>Aplicar los elementos conceptuales de la generación y gestión de proyectos asociados a plataformas, sistemas y servicios de las Tecnologías de la información y las Comunicaciones; entendiendo la necesidad de estos en el avance y consolidación de las organizaciones con criterios de optimización y generación de valor.</v>
          </cell>
        </row>
        <row r="4">
          <cell r="B4" t="str">
            <v xml:space="preserve">Analizar el funcionamiento de circuitos eléctricos y electrónicos de los sistemas de telecomunicaciones, y su configuración a través del desarrollo de programas informáticos para telecomunicaciones; teniendo en cuenta las metodologías de desarrollo de software, los estándares y normas técnicas, buscando la optimización de los recursos disponibles. </v>
          </cell>
        </row>
        <row r="5">
          <cell r="B5" t="str">
            <v xml:space="preserve"> </v>
          </cell>
        </row>
        <row r="6">
          <cell r="B6" t="str">
            <v>Comp5</v>
          </cell>
        </row>
        <row r="7">
          <cell r="B7" t="str">
            <v>Comp6</v>
          </cell>
        </row>
        <row r="8">
          <cell r="B8" t="str">
            <v>Comp7</v>
          </cell>
        </row>
        <row r="9">
          <cell r="B9" t="str">
            <v>Comp8</v>
          </cell>
        </row>
        <row r="10">
          <cell r="B10" t="str">
            <v>Comp9</v>
          </cell>
        </row>
        <row r="11">
          <cell r="B11" t="str">
            <v>Comp10</v>
          </cell>
        </row>
      </sheetData>
      <sheetData sheetId="1">
        <row r="2">
          <cell r="B2" t="str">
            <v>Desarrolla el diseño y la configuración de las redes de datos y sistemas telemáticos, teniendo en cuenta la arquitectura de red, estándares, modelos, marcos generales y necesidades de la organización.</v>
          </cell>
        </row>
        <row r="3">
          <cell r="B3" t="str">
            <v>Desarrolla el diseño y la configuración de los sistemas de radiocomunicaciones teniendo en cuenta la tecnología, estándares, modelos, normas y el marco regulatorio y legal de las telecomunicaciones.</v>
          </cell>
        </row>
        <row r="4">
          <cell r="B4" t="str">
            <v>Propone proyectos de Tecnologías de Información y de Comunicaciones (TIC), estructurando y armonizando elementos de calidad, eficiencia, economía y sustentabilidad.</v>
          </cell>
        </row>
        <row r="5">
          <cell r="B5" t="str">
            <v>Analiza el funcionamiento de circuitos eléctricos y electrónicos de los sistemas de radiocomunicaciones y redes de datos, y su configuración a través del desarrollo de programas informáticos para telecomunicaciones.</v>
          </cell>
        </row>
        <row r="6">
          <cell r="B6" t="str">
            <v xml:space="preserve"> </v>
          </cell>
        </row>
        <row r="7">
          <cell r="B7" t="str">
            <v>ResAp06</v>
          </cell>
        </row>
        <row r="8">
          <cell r="B8" t="str">
            <v>ResAp07</v>
          </cell>
        </row>
        <row r="9">
          <cell r="B9" t="str">
            <v>ResAp08</v>
          </cell>
        </row>
        <row r="10">
          <cell r="B10" t="str">
            <v>ResAp09</v>
          </cell>
        </row>
        <row r="11">
          <cell r="B11" t="str">
            <v>ResAp10</v>
          </cell>
        </row>
      </sheetData>
      <sheetData sheetId="2">
        <row r="2">
          <cell r="B2" t="str">
            <v>Fundamentos de Redes de Datos</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row r="2">
          <cell r="B2"/>
        </row>
        <row r="3">
          <cell r="B3" t="str">
            <v>Acceso a Internet</v>
          </cell>
        </row>
        <row r="4">
          <cell r="B4" t="str">
            <v>Aula tradicional / (Tablero acrílico / Proyector / Otros)</v>
          </cell>
        </row>
        <row r="5">
          <cell r="B5" t="str">
            <v>Aula virtual / Acceso (MOODLE / CHAT / EMAIL / INTERNET / Otros)</v>
          </cell>
        </row>
        <row r="6">
          <cell r="B6" t="str">
            <v>Computador (escritorio / portátil)</v>
          </cell>
        </row>
        <row r="7">
          <cell r="B7" t="str">
            <v>Computador / Software automatización del diseño electrónico - EDA (Opciones: PROTEUS / MULTISIM / Otros)</v>
          </cell>
        </row>
        <row r="8">
          <cell r="B8" t="str">
            <v>Computador / Software compilador de código C# (Opciones: ECLIPSE / Otros)</v>
          </cell>
        </row>
        <row r="9">
          <cell r="B9" t="str">
            <v>Computador / Software creación y gestión mapas conceptuales (Opciones: CMAP / Otros)</v>
          </cell>
        </row>
        <row r="10">
          <cell r="B10" t="str">
            <v>Computador / Software Diagramas de Flujo de Datos (Opciones: DFD / VISIO / Otros)</v>
          </cell>
        </row>
        <row r="11">
          <cell r="B11" t="str">
            <v>Computador / Software editor de código (Opciones: NOTEPAD++ / VISUAL STUDIO / Otros)</v>
          </cell>
        </row>
        <row r="12">
          <cell r="B12" t="str">
            <v>Computador / Software hoja de cálculo (EXCEL / OPEN OFFICE / Otros)</v>
          </cell>
        </row>
        <row r="13">
          <cell r="B13" t="str">
            <v>Computador / Software para Diseño Asistido por Computador - CAD (Opciones: AUTOCAD / RHINOCEROS / SOLID WORKS / Otros)</v>
          </cell>
        </row>
        <row r="14">
          <cell r="B14" t="str">
            <v>Computador / Software procesador de texto (Opciones: WORD / LATEX / Otros)</v>
          </cell>
        </row>
        <row r="15">
          <cell r="B15" t="str">
            <v>Computador / Software procesamiento datos estadísticos (Opciones: MINITAB / R / Otros)</v>
          </cell>
        </row>
        <row r="16">
          <cell r="B16" t="str">
            <v>Computador / Software programación gráfica (Opciones: LABVIEW / SIMULINK / Otros)</v>
          </cell>
        </row>
        <row r="17">
          <cell r="B17" t="str">
            <v>Computador / Software simulación dispositivos electrónicos (Opciones: THINKERCAD / Otros)</v>
          </cell>
        </row>
        <row r="18">
          <cell r="B18" t="str">
            <v>Computador / Software simulación electromagnética (Opciones: MEEP-FDTD / FEKO / Otros)</v>
          </cell>
        </row>
        <row r="19">
          <cell r="B19" t="str">
            <v>Computador / Software simulación matemática (Opciones: MATLAB / SCILAB / OCTAVE / DERIVE / MATHCAD / Otros)</v>
          </cell>
        </row>
        <row r="20">
          <cell r="B20" t="str">
            <v>Computador / Software simulación procesos industriales (Opciones: FLEXIM / Otros)</v>
          </cell>
        </row>
        <row r="21">
          <cell r="B21" t="str">
            <v>Computador / Software simulador gráfico de red (Opciones: PACKET TRACER / GNS3 / Otros)</v>
          </cell>
        </row>
        <row r="22">
          <cell r="B22" t="str">
            <v>Laboratorio / Equipos de medición eléctrica (MULTÌMETRO / OSCILOSCOPIO / ANALIZAR ESPECTRO / Otros)</v>
          </cell>
        </row>
        <row r="23">
          <cell r="B23" t="str">
            <v>Laboratorio / Equipos de redes de telecomunicaciones</v>
          </cell>
        </row>
        <row r="24">
          <cell r="B24" t="str">
            <v>Laboratorio / Equipos fuente de energía (Generador sencillo / Generador dual / Generador de funciones)</v>
          </cell>
        </row>
        <row r="25">
          <cell r="B25" t="str">
            <v>Laboratorio / Herramienta para electricidad y electrónica (Alicate, Pinza, Destornillador, Cautín)</v>
          </cell>
        </row>
        <row r="26">
          <cell r="B26" t="str">
            <v>Laboratorio dispositivos de redes (SWITCH / ROUTER / TRANSCEIVER / MODEM / HUB</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2">
          <cell r="B72">
            <v>0</v>
          </cell>
        </row>
        <row r="73">
          <cell r="B73">
            <v>0</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row r="94">
          <cell r="B94">
            <v>0</v>
          </cell>
        </row>
        <row r="95">
          <cell r="B95">
            <v>0</v>
          </cell>
        </row>
        <row r="96">
          <cell r="B96">
            <v>0</v>
          </cell>
        </row>
        <row r="97">
          <cell r="B97">
            <v>0</v>
          </cell>
        </row>
        <row r="98">
          <cell r="B98">
            <v>0</v>
          </cell>
        </row>
        <row r="99">
          <cell r="B99">
            <v>0</v>
          </cell>
        </row>
        <row r="100">
          <cell r="B100">
            <v>0</v>
          </cell>
        </row>
        <row r="101">
          <cell r="B101">
            <v>0</v>
          </cell>
        </row>
        <row r="102">
          <cell r="B102">
            <v>0</v>
          </cell>
        </row>
      </sheetData>
      <sheetData sheetId="3"/>
      <sheetData sheetId="4">
        <row r="2">
          <cell r="B2" t="str">
            <v>Fundamentos de Redes de Datos</v>
          </cell>
        </row>
      </sheetData>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86416-1FC7-4D13-854B-4ED6649884BC}">
  <sheetPr>
    <tabColor theme="8"/>
  </sheetPr>
  <dimension ref="B2:O54"/>
  <sheetViews>
    <sheetView tabSelected="1" topLeftCell="A23" workbookViewId="0">
      <selection activeCell="D14" sqref="D14:G17"/>
    </sheetView>
  </sheetViews>
  <sheetFormatPr baseColWidth="10" defaultColWidth="10.85546875" defaultRowHeight="15" x14ac:dyDescent="0.25"/>
  <cols>
    <col min="1" max="1" width="5.7109375" style="2" customWidth="1"/>
    <col min="2" max="6" width="24.7109375" style="2" customWidth="1"/>
    <col min="7" max="13" width="12.7109375" style="2" customWidth="1"/>
    <col min="14" max="14" width="13.85546875" style="2" customWidth="1"/>
    <col min="15" max="15" width="24.7109375" style="2" customWidth="1"/>
    <col min="16" max="16" width="5.85546875" style="2" customWidth="1"/>
    <col min="17" max="17" width="10.85546875" style="2"/>
    <col min="18" max="18" width="14" style="2" customWidth="1"/>
    <col min="19" max="16384" width="10.85546875" style="2"/>
  </cols>
  <sheetData>
    <row r="2" spans="2:15" ht="25.5" customHeight="1" x14ac:dyDescent="0.25">
      <c r="B2" s="63" t="e" vm="1">
        <v>#VALUE!</v>
      </c>
      <c r="C2" s="64" t="s">
        <v>0</v>
      </c>
      <c r="D2" s="64"/>
      <c r="E2" s="64"/>
      <c r="F2" s="64"/>
      <c r="G2" s="64"/>
      <c r="H2" s="64"/>
      <c r="I2" s="64"/>
      <c r="J2" s="64"/>
      <c r="K2" s="64"/>
      <c r="L2" s="64"/>
      <c r="M2" s="64"/>
      <c r="N2" s="64"/>
      <c r="O2" s="64"/>
    </row>
    <row r="3" spans="2:15" ht="24" customHeight="1" x14ac:dyDescent="0.25">
      <c r="B3" s="63"/>
      <c r="C3" s="65" t="s">
        <v>1</v>
      </c>
      <c r="D3" s="65"/>
      <c r="E3" s="65"/>
      <c r="F3" s="65"/>
      <c r="G3" s="65"/>
      <c r="H3" s="65"/>
      <c r="I3" s="65"/>
      <c r="J3" s="65"/>
      <c r="K3" s="65"/>
      <c r="L3" s="65"/>
      <c r="M3" s="65"/>
      <c r="N3" s="65"/>
      <c r="O3" s="65"/>
    </row>
    <row r="4" spans="2:15" ht="24" customHeight="1" x14ac:dyDescent="0.25">
      <c r="B4" s="63"/>
      <c r="C4" s="65"/>
      <c r="D4" s="65"/>
      <c r="E4" s="65"/>
      <c r="F4" s="65"/>
      <c r="G4" s="65"/>
      <c r="H4" s="65"/>
      <c r="I4" s="65"/>
      <c r="J4" s="65"/>
      <c r="K4" s="65"/>
      <c r="L4" s="65"/>
      <c r="M4" s="65"/>
      <c r="N4" s="65"/>
      <c r="O4" s="65"/>
    </row>
    <row r="5" spans="2:15" ht="20.100000000000001" customHeight="1" x14ac:dyDescent="0.25">
      <c r="B5" s="3" t="s">
        <v>2</v>
      </c>
      <c r="C5" s="1" t="s">
        <v>3</v>
      </c>
      <c r="D5" s="66" t="s">
        <v>4</v>
      </c>
      <c r="E5" s="66"/>
      <c r="F5" s="66"/>
      <c r="G5" s="1">
        <v>1</v>
      </c>
      <c r="H5" s="66" t="s">
        <v>5</v>
      </c>
      <c r="I5" s="66"/>
      <c r="J5" s="66"/>
      <c r="K5" s="67"/>
      <c r="L5" s="67"/>
      <c r="M5" s="66" t="s">
        <v>6</v>
      </c>
      <c r="N5" s="66"/>
      <c r="O5" s="1" t="s">
        <v>7</v>
      </c>
    </row>
    <row r="6" spans="2:15" ht="20.100000000000001" customHeight="1" x14ac:dyDescent="0.25">
      <c r="B6" s="47"/>
      <c r="C6" s="47"/>
      <c r="D6" s="47"/>
      <c r="E6" s="47"/>
      <c r="F6" s="47"/>
      <c r="G6" s="47"/>
      <c r="H6" s="47"/>
      <c r="I6" s="47"/>
      <c r="J6" s="47"/>
      <c r="K6" s="47"/>
      <c r="L6" s="47"/>
      <c r="M6" s="47"/>
      <c r="N6" s="47"/>
      <c r="O6" s="47"/>
    </row>
    <row r="7" spans="2:15" ht="20.100000000000001" customHeight="1" thickBot="1" x14ac:dyDescent="0.3">
      <c r="B7" s="48" t="s">
        <v>8</v>
      </c>
      <c r="C7" s="48"/>
      <c r="D7" s="48"/>
      <c r="E7" s="48"/>
      <c r="F7" s="48"/>
      <c r="G7" s="48"/>
      <c r="H7" s="48"/>
      <c r="I7" s="48"/>
      <c r="J7" s="48"/>
      <c r="K7" s="48"/>
      <c r="L7" s="48"/>
      <c r="M7" s="48"/>
      <c r="N7" s="48"/>
      <c r="O7" s="48"/>
    </row>
    <row r="8" spans="2:15" ht="18" customHeight="1" x14ac:dyDescent="0.25">
      <c r="B8" s="49" t="s">
        <v>9</v>
      </c>
      <c r="C8" s="51" t="s">
        <v>68</v>
      </c>
      <c r="D8" s="51"/>
      <c r="E8" s="51"/>
      <c r="F8" s="51"/>
      <c r="G8" s="53" t="s">
        <v>10</v>
      </c>
      <c r="H8" s="55">
        <v>3</v>
      </c>
      <c r="I8" s="53" t="s">
        <v>11</v>
      </c>
      <c r="J8" s="4" t="s">
        <v>12</v>
      </c>
      <c r="K8" s="4" t="s">
        <v>13</v>
      </c>
      <c r="L8" s="57" t="s">
        <v>14</v>
      </c>
      <c r="M8" s="4" t="s">
        <v>13</v>
      </c>
      <c r="N8" s="59" t="s">
        <v>15</v>
      </c>
      <c r="O8" s="61" t="s">
        <v>67</v>
      </c>
    </row>
    <row r="9" spans="2:15" ht="18" customHeight="1" x14ac:dyDescent="0.25">
      <c r="B9" s="50"/>
      <c r="C9" s="52"/>
      <c r="D9" s="52"/>
      <c r="E9" s="52"/>
      <c r="F9" s="52"/>
      <c r="G9" s="54"/>
      <c r="H9" s="56"/>
      <c r="I9" s="54"/>
      <c r="J9" s="5">
        <f>H8*16</f>
        <v>48</v>
      </c>
      <c r="K9" s="5">
        <v>0</v>
      </c>
      <c r="L9" s="58"/>
      <c r="M9" s="5">
        <f>J9*2</f>
        <v>96</v>
      </c>
      <c r="N9" s="60"/>
      <c r="O9" s="62"/>
    </row>
    <row r="10" spans="2:15" ht="18" customHeight="1" x14ac:dyDescent="0.25">
      <c r="B10" s="145" t="s">
        <v>16</v>
      </c>
      <c r="C10" s="143" t="s">
        <v>53</v>
      </c>
      <c r="D10" s="143"/>
      <c r="E10" s="143"/>
      <c r="F10" s="143"/>
      <c r="G10" s="143"/>
      <c r="H10" s="143"/>
      <c r="I10" s="143"/>
      <c r="J10" s="32" t="s">
        <v>17</v>
      </c>
      <c r="K10" s="144" t="s">
        <v>97</v>
      </c>
      <c r="L10" s="144"/>
      <c r="M10" s="144"/>
      <c r="N10" s="142" t="s">
        <v>18</v>
      </c>
      <c r="O10" s="146">
        <v>14029210401</v>
      </c>
    </row>
    <row r="11" spans="2:15" ht="18" customHeight="1" thickBot="1" x14ac:dyDescent="0.3">
      <c r="B11" s="6" t="s">
        <v>19</v>
      </c>
      <c r="C11" s="147" t="s">
        <v>69</v>
      </c>
      <c r="D11" s="148"/>
      <c r="E11" s="148"/>
      <c r="F11" s="148"/>
      <c r="G11" s="148"/>
      <c r="H11" s="148"/>
      <c r="I11" s="148"/>
      <c r="J11" s="148"/>
      <c r="K11" s="148"/>
      <c r="L11" s="148"/>
      <c r="M11" s="148"/>
      <c r="N11" s="148"/>
      <c r="O11" s="149"/>
    </row>
    <row r="12" spans="2:15" ht="42.75" customHeight="1" thickBot="1" x14ac:dyDescent="0.3">
      <c r="B12" s="8" t="s">
        <v>20</v>
      </c>
      <c r="C12" s="140" t="s">
        <v>70</v>
      </c>
      <c r="D12" s="140"/>
      <c r="E12" s="140"/>
      <c r="F12" s="140"/>
      <c r="G12" s="140"/>
      <c r="H12" s="140"/>
      <c r="I12" s="140"/>
      <c r="J12" s="140"/>
      <c r="K12" s="140"/>
      <c r="L12" s="140"/>
      <c r="M12" s="140"/>
      <c r="N12" s="140"/>
      <c r="O12" s="141"/>
    </row>
    <row r="13" spans="2:15" ht="30" customHeight="1" thickBot="1" x14ac:dyDescent="0.3">
      <c r="B13" s="75" t="s">
        <v>21</v>
      </c>
      <c r="C13" s="70"/>
      <c r="D13" s="68" t="s">
        <v>22</v>
      </c>
      <c r="E13" s="69"/>
      <c r="F13" s="69"/>
      <c r="G13" s="70"/>
      <c r="H13" s="76" t="s">
        <v>23</v>
      </c>
      <c r="I13" s="76"/>
      <c r="J13" s="76"/>
      <c r="K13" s="76" t="s">
        <v>24</v>
      </c>
      <c r="L13" s="76"/>
      <c r="M13" s="76"/>
      <c r="N13" s="76" t="s">
        <v>25</v>
      </c>
      <c r="O13" s="77"/>
    </row>
    <row r="14" spans="2:15" ht="100.5" customHeight="1" x14ac:dyDescent="0.25">
      <c r="B14" s="78" t="s">
        <v>71</v>
      </c>
      <c r="C14" s="79"/>
      <c r="D14" s="82" t="s">
        <v>72</v>
      </c>
      <c r="E14" s="83"/>
      <c r="F14" s="83"/>
      <c r="G14" s="84"/>
      <c r="H14" s="91" t="s">
        <v>73</v>
      </c>
      <c r="I14" s="91"/>
      <c r="J14" s="91"/>
      <c r="K14" s="94" t="s">
        <v>74</v>
      </c>
      <c r="L14" s="94"/>
      <c r="M14" s="95"/>
      <c r="N14" s="100" t="s">
        <v>75</v>
      </c>
      <c r="O14" s="101"/>
    </row>
    <row r="15" spans="2:15" ht="100.5" customHeight="1" x14ac:dyDescent="0.25">
      <c r="B15" s="78"/>
      <c r="C15" s="79"/>
      <c r="D15" s="85"/>
      <c r="E15" s="86"/>
      <c r="F15" s="86"/>
      <c r="G15" s="87"/>
      <c r="H15" s="92"/>
      <c r="I15" s="92"/>
      <c r="J15" s="92"/>
      <c r="K15" s="96"/>
      <c r="L15" s="96"/>
      <c r="M15" s="97"/>
      <c r="N15" s="102"/>
      <c r="O15" s="103"/>
    </row>
    <row r="16" spans="2:15" ht="100.5" customHeight="1" x14ac:dyDescent="0.25">
      <c r="B16" s="78"/>
      <c r="C16" s="79"/>
      <c r="D16" s="85"/>
      <c r="E16" s="86"/>
      <c r="F16" s="86"/>
      <c r="G16" s="87"/>
      <c r="H16" s="92"/>
      <c r="I16" s="92"/>
      <c r="J16" s="92"/>
      <c r="K16" s="96"/>
      <c r="L16" s="96"/>
      <c r="M16" s="97"/>
      <c r="N16" s="102"/>
      <c r="O16" s="103"/>
    </row>
    <row r="17" spans="2:15" ht="100.5" customHeight="1" thickBot="1" x14ac:dyDescent="0.3">
      <c r="B17" s="80"/>
      <c r="C17" s="81"/>
      <c r="D17" s="88"/>
      <c r="E17" s="89"/>
      <c r="F17" s="89"/>
      <c r="G17" s="90"/>
      <c r="H17" s="93"/>
      <c r="I17" s="93"/>
      <c r="J17" s="93"/>
      <c r="K17" s="98"/>
      <c r="L17" s="98"/>
      <c r="M17" s="99"/>
      <c r="N17" s="104"/>
      <c r="O17" s="105"/>
    </row>
    <row r="18" spans="2:15" ht="30" customHeight="1" x14ac:dyDescent="0.25">
      <c r="B18" s="49" t="s">
        <v>26</v>
      </c>
      <c r="C18" s="53" t="s">
        <v>27</v>
      </c>
      <c r="D18" s="68" t="s">
        <v>28</v>
      </c>
      <c r="E18" s="69"/>
      <c r="F18" s="70"/>
      <c r="G18" s="71" t="s">
        <v>29</v>
      </c>
      <c r="H18" s="72"/>
      <c r="I18" s="106" t="s">
        <v>30</v>
      </c>
      <c r="J18" s="107"/>
      <c r="K18" s="106" t="s">
        <v>31</v>
      </c>
      <c r="L18" s="127"/>
      <c r="M18" s="106" t="s">
        <v>32</v>
      </c>
      <c r="N18" s="107"/>
      <c r="O18" s="129" t="s">
        <v>33</v>
      </c>
    </row>
    <row r="19" spans="2:15" ht="15" customHeight="1" thickBot="1" x14ac:dyDescent="0.3">
      <c r="B19" s="132"/>
      <c r="C19" s="133"/>
      <c r="D19" s="7" t="s">
        <v>34</v>
      </c>
      <c r="E19" s="7" t="s">
        <v>35</v>
      </c>
      <c r="F19" s="7" t="s">
        <v>36</v>
      </c>
      <c r="G19" s="73"/>
      <c r="H19" s="74"/>
      <c r="I19" s="108"/>
      <c r="J19" s="109"/>
      <c r="K19" s="108"/>
      <c r="L19" s="128"/>
      <c r="M19" s="108"/>
      <c r="N19" s="109"/>
      <c r="O19" s="130"/>
    </row>
    <row r="20" spans="2:15" ht="207" customHeight="1" x14ac:dyDescent="0.25">
      <c r="B20" s="131" t="s">
        <v>92</v>
      </c>
      <c r="C20" s="35" t="s">
        <v>76</v>
      </c>
      <c r="D20" s="36" t="s">
        <v>77</v>
      </c>
      <c r="E20" s="37" t="s">
        <v>78</v>
      </c>
      <c r="F20" s="38" t="s">
        <v>79</v>
      </c>
      <c r="G20" s="110" t="s">
        <v>54</v>
      </c>
      <c r="H20" s="111"/>
      <c r="I20" s="114" t="s">
        <v>55</v>
      </c>
      <c r="J20" s="115"/>
      <c r="K20" s="114" t="s">
        <v>56</v>
      </c>
      <c r="L20" s="115"/>
      <c r="M20" s="114" t="s">
        <v>57</v>
      </c>
      <c r="N20" s="115"/>
      <c r="O20" s="134" t="s">
        <v>58</v>
      </c>
    </row>
    <row r="21" spans="2:15" ht="207" customHeight="1" x14ac:dyDescent="0.25">
      <c r="B21" s="131"/>
      <c r="C21" s="35" t="s">
        <v>80</v>
      </c>
      <c r="D21" s="36" t="s">
        <v>81</v>
      </c>
      <c r="E21" s="37" t="s">
        <v>82</v>
      </c>
      <c r="F21" s="38" t="s">
        <v>83</v>
      </c>
      <c r="G21" s="112"/>
      <c r="H21" s="113"/>
      <c r="I21" s="116"/>
      <c r="J21" s="117"/>
      <c r="K21" s="116"/>
      <c r="L21" s="117"/>
      <c r="M21" s="116"/>
      <c r="N21" s="117"/>
      <c r="O21" s="134"/>
    </row>
    <row r="22" spans="2:15" ht="207" customHeight="1" x14ac:dyDescent="0.25">
      <c r="B22" s="131"/>
      <c r="C22" s="33" t="s">
        <v>84</v>
      </c>
      <c r="D22" s="39" t="s">
        <v>85</v>
      </c>
      <c r="E22" s="37" t="s">
        <v>86</v>
      </c>
      <c r="F22" s="39" t="s">
        <v>87</v>
      </c>
      <c r="G22" s="112"/>
      <c r="H22" s="113"/>
      <c r="I22" s="116"/>
      <c r="J22" s="117"/>
      <c r="K22" s="116"/>
      <c r="L22" s="117"/>
      <c r="M22" s="116"/>
      <c r="N22" s="117"/>
      <c r="O22" s="134"/>
    </row>
    <row r="23" spans="2:15" ht="207" customHeight="1" thickBot="1" x14ac:dyDescent="0.3">
      <c r="B23" s="131"/>
      <c r="C23" s="34" t="s">
        <v>88</v>
      </c>
      <c r="D23" s="40" t="s">
        <v>89</v>
      </c>
      <c r="E23" s="40" t="s">
        <v>90</v>
      </c>
      <c r="F23" s="40" t="s">
        <v>91</v>
      </c>
      <c r="G23" s="112"/>
      <c r="H23" s="113"/>
      <c r="I23" s="116"/>
      <c r="J23" s="117"/>
      <c r="K23" s="116"/>
      <c r="L23" s="117"/>
      <c r="M23" s="116"/>
      <c r="N23" s="117"/>
      <c r="O23" s="134"/>
    </row>
    <row r="24" spans="2:15" ht="15" customHeight="1" x14ac:dyDescent="0.25">
      <c r="B24" s="136" t="s">
        <v>37</v>
      </c>
      <c r="C24" s="45" t="s">
        <v>59</v>
      </c>
      <c r="D24" s="19"/>
      <c r="E24" s="19"/>
      <c r="F24" s="19"/>
      <c r="G24" s="19"/>
      <c r="H24" s="19"/>
      <c r="I24" s="19"/>
      <c r="J24" s="20"/>
      <c r="K24" s="20"/>
      <c r="L24" s="20"/>
      <c r="M24" s="20"/>
      <c r="N24" s="20"/>
      <c r="O24" s="21"/>
    </row>
    <row r="25" spans="2:15" ht="15" customHeight="1" x14ac:dyDescent="0.25">
      <c r="B25" s="122"/>
      <c r="C25" s="46" t="s">
        <v>60</v>
      </c>
      <c r="D25" s="9"/>
      <c r="E25" s="9"/>
      <c r="F25" s="9"/>
      <c r="G25" s="9"/>
      <c r="H25" s="9"/>
      <c r="I25" s="9"/>
      <c r="J25"/>
      <c r="K25"/>
      <c r="L25"/>
      <c r="M25"/>
      <c r="N25"/>
      <c r="O25" s="10"/>
    </row>
    <row r="26" spans="2:15" ht="15" customHeight="1" x14ac:dyDescent="0.25">
      <c r="B26" s="122"/>
      <c r="C26" s="46" t="s">
        <v>61</v>
      </c>
      <c r="D26" s="9"/>
      <c r="E26" s="9"/>
      <c r="F26" s="9"/>
      <c r="G26" s="9"/>
      <c r="H26" s="9"/>
      <c r="I26" s="9"/>
      <c r="J26"/>
      <c r="K26"/>
      <c r="L26"/>
      <c r="M26"/>
      <c r="N26"/>
      <c r="O26" s="10"/>
    </row>
    <row r="27" spans="2:15" ht="15" customHeight="1" x14ac:dyDescent="0.25">
      <c r="B27" s="122"/>
      <c r="C27" s="46" t="s">
        <v>62</v>
      </c>
      <c r="D27" s="9"/>
      <c r="E27" s="9"/>
      <c r="F27" s="9"/>
      <c r="G27" s="9"/>
      <c r="H27" s="9"/>
      <c r="I27" s="9"/>
      <c r="J27"/>
      <c r="K27"/>
      <c r="L27"/>
      <c r="M27"/>
      <c r="N27"/>
      <c r="O27" s="10"/>
    </row>
    <row r="28" spans="2:15" ht="15" customHeight="1" x14ac:dyDescent="0.25">
      <c r="B28" s="122"/>
      <c r="C28" s="46" t="s">
        <v>63</v>
      </c>
      <c r="D28" s="9"/>
      <c r="E28" s="9"/>
      <c r="F28" s="9"/>
      <c r="G28" s="9"/>
      <c r="H28" s="9"/>
      <c r="I28" s="9"/>
      <c r="J28"/>
      <c r="K28"/>
      <c r="L28"/>
      <c r="M28"/>
      <c r="N28"/>
      <c r="O28" s="10"/>
    </row>
    <row r="29" spans="2:15" ht="15" customHeight="1" x14ac:dyDescent="0.25">
      <c r="B29" s="122"/>
      <c r="C29" s="46" t="s">
        <v>64</v>
      </c>
      <c r="D29" s="9"/>
      <c r="E29" s="9"/>
      <c r="F29" s="9"/>
      <c r="G29" s="9"/>
      <c r="H29" s="9"/>
      <c r="I29" s="9"/>
      <c r="J29"/>
      <c r="K29"/>
      <c r="L29"/>
      <c r="M29"/>
      <c r="N29"/>
      <c r="O29" s="10"/>
    </row>
    <row r="30" spans="2:15" ht="15" customHeight="1" x14ac:dyDescent="0.25">
      <c r="B30" s="122"/>
      <c r="C30" s="27" t="s">
        <v>65</v>
      </c>
      <c r="D30" s="9"/>
      <c r="E30" s="9"/>
      <c r="F30" s="9"/>
      <c r="G30" s="9"/>
      <c r="H30" s="9"/>
      <c r="I30" s="9"/>
      <c r="J30"/>
      <c r="K30"/>
      <c r="L30"/>
      <c r="M30"/>
      <c r="N30"/>
      <c r="O30" s="10"/>
    </row>
    <row r="31" spans="2:15" ht="15" customHeight="1" x14ac:dyDescent="0.25">
      <c r="B31" s="137"/>
      <c r="C31" s="41" t="s">
        <v>66</v>
      </c>
      <c r="D31" s="29"/>
      <c r="E31" s="29"/>
      <c r="F31" s="29"/>
      <c r="G31" s="29"/>
      <c r="H31" s="29"/>
      <c r="I31" s="29"/>
      <c r="J31" s="29"/>
      <c r="K31" s="29"/>
      <c r="L31" s="29"/>
      <c r="M31" s="29"/>
      <c r="N31" s="29"/>
      <c r="O31" s="31"/>
    </row>
    <row r="32" spans="2:15" ht="15" customHeight="1" x14ac:dyDescent="0.25">
      <c r="B32" s="121" t="s">
        <v>38</v>
      </c>
      <c r="C32" s="42" t="s">
        <v>93</v>
      </c>
      <c r="D32" s="17"/>
      <c r="E32" s="17"/>
      <c r="F32" s="17"/>
      <c r="G32" s="17"/>
      <c r="H32" s="17"/>
      <c r="I32" s="17"/>
      <c r="J32" s="17"/>
      <c r="K32" s="17"/>
      <c r="L32" s="17"/>
      <c r="M32" s="17"/>
      <c r="N32" s="17"/>
      <c r="O32" s="22"/>
    </row>
    <row r="33" spans="2:15" ht="15" customHeight="1" x14ac:dyDescent="0.25">
      <c r="B33" s="122"/>
      <c r="C33" s="43" t="s">
        <v>94</v>
      </c>
      <c r="D33" s="28"/>
      <c r="E33" s="28"/>
      <c r="F33" s="28"/>
      <c r="G33" s="28"/>
      <c r="H33" s="28"/>
      <c r="I33" s="28"/>
      <c r="J33" s="28"/>
      <c r="K33" s="28"/>
      <c r="L33" s="28"/>
      <c r="M33" s="28"/>
      <c r="N33" s="28"/>
      <c r="O33" s="23"/>
    </row>
    <row r="34" spans="2:15" ht="15" customHeight="1" x14ac:dyDescent="0.25">
      <c r="B34" s="122"/>
      <c r="C34" s="43" t="s">
        <v>95</v>
      </c>
      <c r="D34" s="28"/>
      <c r="E34" s="28"/>
      <c r="F34" s="28"/>
      <c r="G34" s="28"/>
      <c r="H34" s="28"/>
      <c r="I34" s="28"/>
      <c r="J34" s="28"/>
      <c r="K34" s="28"/>
      <c r="L34" s="28"/>
      <c r="M34" s="28"/>
      <c r="N34" s="28"/>
      <c r="O34" s="23"/>
    </row>
    <row r="35" spans="2:15" ht="15" customHeight="1" x14ac:dyDescent="0.25">
      <c r="B35" s="122"/>
      <c r="C35" s="44" t="s">
        <v>96</v>
      </c>
      <c r="D35" s="28"/>
      <c r="E35" s="28"/>
      <c r="F35" s="28"/>
      <c r="G35" s="28"/>
      <c r="H35" s="28"/>
      <c r="I35" s="28"/>
      <c r="J35" s="28"/>
      <c r="K35" s="28"/>
      <c r="L35" s="28"/>
      <c r="M35" s="28"/>
      <c r="N35" s="28"/>
      <c r="O35" s="23"/>
    </row>
    <row r="36" spans="2:15" ht="15" customHeight="1" x14ac:dyDescent="0.25">
      <c r="B36" s="122"/>
      <c r="C36" s="30"/>
      <c r="D36" s="28"/>
      <c r="E36" s="28"/>
      <c r="F36" s="28"/>
      <c r="G36" s="28"/>
      <c r="H36" s="28"/>
      <c r="I36" s="28"/>
      <c r="J36" s="28"/>
      <c r="K36" s="28"/>
      <c r="L36" s="28"/>
      <c r="M36" s="28"/>
      <c r="N36" s="28"/>
      <c r="O36" s="23"/>
    </row>
    <row r="37" spans="2:15" ht="15" customHeight="1" x14ac:dyDescent="0.25">
      <c r="B37" s="122"/>
      <c r="C37" s="18"/>
      <c r="D37" s="28"/>
      <c r="E37" s="28"/>
      <c r="F37" s="28"/>
      <c r="G37" s="28"/>
      <c r="H37" s="28"/>
      <c r="I37" s="28"/>
      <c r="J37" s="28"/>
      <c r="K37" s="28"/>
      <c r="L37" s="28"/>
      <c r="M37" s="28"/>
      <c r="N37" s="28"/>
      <c r="O37" s="23"/>
    </row>
    <row r="38" spans="2:15" ht="15" customHeight="1" thickBot="1" x14ac:dyDescent="0.3">
      <c r="B38" s="123"/>
      <c r="C38" s="24"/>
      <c r="D38" s="25"/>
      <c r="E38" s="25"/>
      <c r="F38" s="25"/>
      <c r="G38" s="25"/>
      <c r="H38" s="25"/>
      <c r="I38" s="25"/>
      <c r="J38" s="25"/>
      <c r="K38" s="25"/>
      <c r="L38" s="25"/>
      <c r="M38" s="25"/>
      <c r="N38" s="25"/>
      <c r="O38" s="26"/>
    </row>
    <row r="40" spans="2:15" ht="24.75" customHeight="1" x14ac:dyDescent="0.25">
      <c r="B40" s="138" t="s">
        <v>39</v>
      </c>
      <c r="C40" s="139"/>
      <c r="D40" s="139"/>
      <c r="E40" s="139"/>
      <c r="F40" s="139"/>
      <c r="G40" s="139"/>
      <c r="H40" s="139"/>
      <c r="I40" s="139"/>
      <c r="J40" s="139"/>
      <c r="K40" s="139"/>
      <c r="L40" s="139"/>
      <c r="M40" s="139"/>
      <c r="N40" s="139"/>
      <c r="O40" s="139"/>
    </row>
    <row r="41" spans="2:15" ht="24.75" customHeight="1" x14ac:dyDescent="0.25">
      <c r="B41" s="126" t="s">
        <v>4</v>
      </c>
      <c r="C41" s="126"/>
      <c r="D41" s="124" t="s">
        <v>40</v>
      </c>
      <c r="E41" s="124"/>
      <c r="F41" s="124"/>
      <c r="G41" s="124"/>
      <c r="H41" s="125"/>
      <c r="I41" s="12"/>
      <c r="J41" s="126" t="s">
        <v>41</v>
      </c>
      <c r="K41" s="126"/>
      <c r="L41" s="126"/>
      <c r="M41" s="126"/>
      <c r="N41" s="126"/>
      <c r="O41" s="126"/>
    </row>
    <row r="42" spans="2:15" ht="24.75" customHeight="1" x14ac:dyDescent="0.25">
      <c r="B42" s="126"/>
      <c r="C42" s="126"/>
      <c r="D42" s="12" t="s">
        <v>42</v>
      </c>
      <c r="E42" s="13"/>
      <c r="F42" s="118" t="s">
        <v>43</v>
      </c>
      <c r="G42" s="119"/>
      <c r="H42" s="11" t="s">
        <v>44</v>
      </c>
      <c r="I42" s="11"/>
      <c r="J42" s="126"/>
      <c r="K42" s="126"/>
      <c r="L42" s="126"/>
      <c r="M42" s="126"/>
      <c r="N42" s="126"/>
      <c r="O42" s="126"/>
    </row>
    <row r="43" spans="2:15" ht="24.75" customHeight="1" x14ac:dyDescent="0.25">
      <c r="B43" s="120">
        <v>1</v>
      </c>
      <c r="C43" s="120"/>
      <c r="D43" s="15"/>
      <c r="E43" s="15"/>
      <c r="F43" s="67"/>
      <c r="G43" s="67"/>
      <c r="H43" s="14"/>
      <c r="I43" s="14"/>
      <c r="J43" s="120" t="s">
        <v>45</v>
      </c>
      <c r="K43" s="120"/>
      <c r="L43" s="120"/>
      <c r="M43" s="120"/>
      <c r="N43" s="120"/>
      <c r="O43" s="120"/>
    </row>
    <row r="44" spans="2:15" ht="24.75" customHeight="1" x14ac:dyDescent="0.25">
      <c r="B44" s="16"/>
      <c r="G44" s="16"/>
      <c r="H44" s="16"/>
      <c r="I44" s="16"/>
    </row>
    <row r="45" spans="2:15" ht="24.75" customHeight="1" x14ac:dyDescent="0.25">
      <c r="B45" s="66" t="s">
        <v>46</v>
      </c>
      <c r="C45" s="66"/>
      <c r="D45" s="66"/>
      <c r="E45" s="66"/>
      <c r="F45" s="66"/>
      <c r="G45" s="66"/>
      <c r="H45" s="66"/>
      <c r="I45" s="66"/>
      <c r="J45" s="66"/>
      <c r="K45" s="66"/>
      <c r="L45" s="66"/>
      <c r="M45" s="66"/>
      <c r="N45" s="66"/>
      <c r="O45" s="66"/>
    </row>
    <row r="46" spans="2:15" ht="24.75" customHeight="1" x14ac:dyDescent="0.25">
      <c r="B46" s="66" t="s">
        <v>47</v>
      </c>
      <c r="C46" s="66"/>
      <c r="D46" s="66"/>
      <c r="E46" s="66"/>
      <c r="F46" s="66"/>
      <c r="G46" s="66"/>
      <c r="H46" s="66"/>
      <c r="I46" s="66"/>
      <c r="J46" s="66"/>
      <c r="K46" s="66"/>
      <c r="L46" s="66"/>
      <c r="M46" s="66"/>
      <c r="N46" s="66"/>
      <c r="O46" s="66"/>
    </row>
    <row r="47" spans="2:15" ht="24.75" customHeight="1" x14ac:dyDescent="0.25">
      <c r="B47" s="126" t="s">
        <v>48</v>
      </c>
      <c r="C47" s="126"/>
      <c r="D47" s="126"/>
      <c r="E47" s="126"/>
      <c r="F47" s="126"/>
      <c r="G47" s="126"/>
      <c r="H47" s="126" t="s">
        <v>49</v>
      </c>
      <c r="I47" s="126"/>
      <c r="J47" s="126"/>
      <c r="K47" s="126"/>
      <c r="L47" s="126"/>
      <c r="M47" s="126" t="s">
        <v>50</v>
      </c>
      <c r="N47" s="126"/>
      <c r="O47" s="126"/>
    </row>
    <row r="48" spans="2:15" ht="24.75" customHeight="1" x14ac:dyDescent="0.25">
      <c r="B48" s="135"/>
      <c r="C48" s="135"/>
      <c r="D48" s="135"/>
      <c r="E48" s="135"/>
      <c r="F48" s="135"/>
      <c r="G48" s="135"/>
      <c r="H48" s="135"/>
      <c r="I48" s="135"/>
      <c r="J48" s="135"/>
      <c r="K48" s="135"/>
      <c r="L48" s="135"/>
      <c r="M48" s="135"/>
      <c r="N48" s="135"/>
      <c r="O48" s="135"/>
    </row>
    <row r="49" spans="2:15" ht="24.75" customHeight="1" x14ac:dyDescent="0.25">
      <c r="B49" s="126" t="s">
        <v>51</v>
      </c>
      <c r="C49" s="126"/>
      <c r="D49" s="126"/>
      <c r="E49" s="126"/>
      <c r="F49" s="126"/>
      <c r="G49" s="126"/>
      <c r="H49" s="126"/>
      <c r="I49" s="126"/>
      <c r="J49" s="126"/>
      <c r="K49" s="126"/>
      <c r="L49" s="126"/>
      <c r="M49" s="126"/>
      <c r="N49" s="126"/>
      <c r="O49" s="126"/>
    </row>
    <row r="50" spans="2:15" ht="24.75" customHeight="1" x14ac:dyDescent="0.25">
      <c r="B50" s="126" t="s">
        <v>48</v>
      </c>
      <c r="C50" s="126"/>
      <c r="D50" s="126"/>
      <c r="E50" s="126"/>
      <c r="F50" s="126"/>
      <c r="G50" s="126"/>
      <c r="H50" s="126" t="s">
        <v>49</v>
      </c>
      <c r="I50" s="126"/>
      <c r="J50" s="126"/>
      <c r="K50" s="126"/>
      <c r="L50" s="126"/>
      <c r="M50" s="126" t="s">
        <v>50</v>
      </c>
      <c r="N50" s="126"/>
      <c r="O50" s="126"/>
    </row>
    <row r="51" spans="2:15" ht="24.75" customHeight="1" x14ac:dyDescent="0.25">
      <c r="B51" s="135"/>
      <c r="C51" s="135"/>
      <c r="D51" s="135"/>
      <c r="E51" s="135"/>
      <c r="F51" s="135"/>
      <c r="G51" s="135"/>
      <c r="H51" s="135"/>
      <c r="I51" s="135"/>
      <c r="J51" s="135"/>
      <c r="K51" s="135"/>
      <c r="L51" s="135"/>
      <c r="M51" s="135"/>
      <c r="N51" s="135"/>
      <c r="O51" s="135"/>
    </row>
    <row r="52" spans="2:15" ht="24.75" customHeight="1" x14ac:dyDescent="0.25">
      <c r="B52" s="126" t="s">
        <v>52</v>
      </c>
      <c r="C52" s="126"/>
      <c r="D52" s="126"/>
      <c r="E52" s="126"/>
      <c r="F52" s="126"/>
      <c r="G52" s="126"/>
      <c r="H52" s="126"/>
      <c r="I52" s="126"/>
      <c r="J52" s="126"/>
      <c r="K52" s="126"/>
      <c r="L52" s="126"/>
      <c r="M52" s="126"/>
      <c r="N52" s="126"/>
      <c r="O52" s="126"/>
    </row>
    <row r="53" spans="2:15" ht="24.75" customHeight="1" x14ac:dyDescent="0.25">
      <c r="B53" s="126" t="s">
        <v>48</v>
      </c>
      <c r="C53" s="126"/>
      <c r="D53" s="126"/>
      <c r="E53" s="126"/>
      <c r="F53" s="126"/>
      <c r="G53" s="126"/>
      <c r="H53" s="126" t="s">
        <v>49</v>
      </c>
      <c r="I53" s="126"/>
      <c r="J53" s="126"/>
      <c r="K53" s="126"/>
      <c r="L53" s="126"/>
      <c r="M53" s="126" t="s">
        <v>50</v>
      </c>
      <c r="N53" s="126"/>
      <c r="O53" s="126"/>
    </row>
    <row r="54" spans="2:15" ht="24.75" customHeight="1" x14ac:dyDescent="0.25">
      <c r="B54" s="135"/>
      <c r="C54" s="135"/>
      <c r="D54" s="135"/>
      <c r="E54" s="135"/>
      <c r="F54" s="135"/>
      <c r="G54" s="135"/>
      <c r="H54" s="135"/>
      <c r="I54" s="135"/>
      <c r="J54" s="135"/>
      <c r="K54" s="135"/>
      <c r="L54" s="135"/>
      <c r="M54" s="135"/>
      <c r="N54" s="135"/>
      <c r="O54" s="135"/>
    </row>
  </sheetData>
  <mergeCells count="77">
    <mergeCell ref="C11:O11"/>
    <mergeCell ref="B24:B31"/>
    <mergeCell ref="B48:G48"/>
    <mergeCell ref="H48:L48"/>
    <mergeCell ref="M48:O48"/>
    <mergeCell ref="B49:O49"/>
    <mergeCell ref="B47:G47"/>
    <mergeCell ref="H47:L47"/>
    <mergeCell ref="M47:O47"/>
    <mergeCell ref="B40:O40"/>
    <mergeCell ref="B41:C42"/>
    <mergeCell ref="B45:O45"/>
    <mergeCell ref="B46:O46"/>
    <mergeCell ref="K20:L23"/>
    <mergeCell ref="M20:N23"/>
    <mergeCell ref="O20:O23"/>
    <mergeCell ref="B54:G54"/>
    <mergeCell ref="H54:L54"/>
    <mergeCell ref="M54:O54"/>
    <mergeCell ref="B51:G51"/>
    <mergeCell ref="H51:L51"/>
    <mergeCell ref="M51:O51"/>
    <mergeCell ref="B52:O52"/>
    <mergeCell ref="B53:G53"/>
    <mergeCell ref="H53:L53"/>
    <mergeCell ref="M53:O53"/>
    <mergeCell ref="B50:G50"/>
    <mergeCell ref="H50:L50"/>
    <mergeCell ref="M50:O50"/>
    <mergeCell ref="I18:J19"/>
    <mergeCell ref="G20:H23"/>
    <mergeCell ref="I20:J23"/>
    <mergeCell ref="F42:G42"/>
    <mergeCell ref="B43:C43"/>
    <mergeCell ref="F43:G43"/>
    <mergeCell ref="J43:O43"/>
    <mergeCell ref="B32:B38"/>
    <mergeCell ref="D41:H41"/>
    <mergeCell ref="J41:O42"/>
    <mergeCell ref="K18:L19"/>
    <mergeCell ref="M18:N19"/>
    <mergeCell ref="O18:O19"/>
    <mergeCell ref="B20:B23"/>
    <mergeCell ref="B18:B19"/>
    <mergeCell ref="C18:C19"/>
    <mergeCell ref="D18:F18"/>
    <mergeCell ref="G18:H19"/>
    <mergeCell ref="C10:I10"/>
    <mergeCell ref="K10:M10"/>
    <mergeCell ref="C12:O12"/>
    <mergeCell ref="B13:C13"/>
    <mergeCell ref="D13:G13"/>
    <mergeCell ref="H13:J13"/>
    <mergeCell ref="K13:M13"/>
    <mergeCell ref="N13:O13"/>
    <mergeCell ref="B14:C17"/>
    <mergeCell ref="D14:G17"/>
    <mergeCell ref="H14:J17"/>
    <mergeCell ref="K14:M17"/>
    <mergeCell ref="N14:O17"/>
    <mergeCell ref="B2:B4"/>
    <mergeCell ref="C2:O2"/>
    <mergeCell ref="C3:O4"/>
    <mergeCell ref="D5:F5"/>
    <mergeCell ref="H5:J5"/>
    <mergeCell ref="K5:L5"/>
    <mergeCell ref="M5:N5"/>
    <mergeCell ref="B6:O6"/>
    <mergeCell ref="B7:O7"/>
    <mergeCell ref="B8:B9"/>
    <mergeCell ref="C8:F9"/>
    <mergeCell ref="G8:G9"/>
    <mergeCell ref="H8:H9"/>
    <mergeCell ref="I8:I9"/>
    <mergeCell ref="L8:L9"/>
    <mergeCell ref="N8:N9"/>
    <mergeCell ref="O8:O9"/>
  </mergeCells>
  <pageMargins left="0.7" right="0.7" top="0.75" bottom="0.75" header="0.3" footer="0.3"/>
  <pageSetup scale="3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UA</vt:lpstr>
      <vt:lpstr>UA!Área_de_impresión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Fulbia Emilia Cerón Gomez</cp:lastModifiedBy>
  <cp:revision/>
  <dcterms:created xsi:type="dcterms:W3CDTF">2025-05-09T12:44:33Z</dcterms:created>
  <dcterms:modified xsi:type="dcterms:W3CDTF">2025-08-26T02:46:47Z</dcterms:modified>
  <cp:category/>
  <cp:contentStatus/>
</cp:coreProperties>
</file>