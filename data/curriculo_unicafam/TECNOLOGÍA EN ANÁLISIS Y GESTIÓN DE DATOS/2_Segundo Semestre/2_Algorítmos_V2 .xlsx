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unicafamnet-my.sharepoint.com/personal/fulbia_ceron_unicafam_edu_co/Documents/Desktop/Tecnología_Analisis_Gestion_Datos/"/>
    </mc:Choice>
  </mc:AlternateContent>
  <xr:revisionPtr revIDLastSave="39" documentId="8_{4729437E-A08C-4C30-A652-7BFE74378AF0}" xr6:coauthVersionLast="47" xr6:coauthVersionMax="47" xr10:uidLastSave="{7CF92EBD-6C08-4A05-9AFF-ADAFE54DC503}"/>
  <bookViews>
    <workbookView xWindow="28680" yWindow="-120" windowWidth="20730" windowHeight="11040" xr2:uid="{63524AB0-E285-4351-8BAB-D0E0F3F27EBF}"/>
  </bookViews>
  <sheets>
    <sheet name="1Algorítmos " sheetId="1" r:id="rId1"/>
  </sheets>
  <externalReferences>
    <externalReference r:id="rId2"/>
    <externalReference r:id="rId3"/>
    <externalReference r:id="rId4"/>
    <externalReference r:id="rId5"/>
    <externalReference r:id="rId6"/>
  </externalReferences>
  <definedNames>
    <definedName name="_xlnm.Print_Area" localSheetId="0">'1Algorítmos '!$B$2:$O$46</definedName>
    <definedName name="Competencias">[1]MaestroCompetencias!$B$2:$B$11</definedName>
    <definedName name="CRÉDITOS">'[2]Códigos '!$AK$70:$AK$74</definedName>
    <definedName name="DatosCompleto">[3]MaestroUA!$B$2:$M$89</definedName>
    <definedName name="ingenieria">#REF!</definedName>
    <definedName name="RedacciónRecurso">[4]MaestroRecursos!$B$2:$B$102</definedName>
    <definedName name="ResultadoAprendizaje">[1]MaestroResultadosA!$B$2:$B$12</definedName>
    <definedName name="Semestre">[5]asdf!$A$13:$A$20</definedName>
    <definedName name="TIPOLOGÍA">'[2]Códigos '!$AJ$70:$AJ$72</definedName>
    <definedName name="UnidadAcademica">[3]MaestroUA!$B$2:$B$89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8" i="1" l="1"/>
  <c r="M8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<sst xmlns="http://schemas.openxmlformats.org/spreadsheetml/2006/main" count="92" uniqueCount="85">
  <si>
    <t>FUNDACIÓN UNIVERSITARIA CAFAM</t>
  </si>
  <si>
    <t xml:space="preserve">MACROPROCESO MISIONAL
DOCENCIA
UNIDAD DE APRENDIZAJE </t>
  </si>
  <si>
    <t>CÓDIGO</t>
  </si>
  <si>
    <t>MIDOFO05</t>
  </si>
  <si>
    <t>VERSIÓN</t>
  </si>
  <si>
    <t>VIGENCIA</t>
  </si>
  <si>
    <t>PÁGINA</t>
  </si>
  <si>
    <t>1 de 1</t>
  </si>
  <si>
    <t xml:space="preserve">UNIDAD DE APRENDIZAJE </t>
  </si>
  <si>
    <t>NOMBRE UNIDAD DE APRENDIZAJE:</t>
  </si>
  <si>
    <t>ALGORÍTMOS</t>
  </si>
  <si>
    <t>N° Créditos:</t>
  </si>
  <si>
    <t>TFD:</t>
  </si>
  <si>
    <t>TTI:</t>
  </si>
  <si>
    <t>MODALIDAD:</t>
  </si>
  <si>
    <t>PROGRAMA:</t>
  </si>
  <si>
    <t>Tecnología de Análisis y Gestión de Datos</t>
  </si>
  <si>
    <t>SEMESTRE:</t>
  </si>
  <si>
    <t>I</t>
  </si>
  <si>
    <t>CÓDIGO:</t>
  </si>
  <si>
    <t>ÁREA DE FORMACIÓN:</t>
  </si>
  <si>
    <t>Específica</t>
  </si>
  <si>
    <t>JUSTIFICACIÓN:</t>
  </si>
  <si>
    <t>Es indispensable para cualquier profesional actual, poseer las capacidades y habilidades mínimas necesarias para la resolución de problemas, por medio del uso de herramientas metodológicas estructuradas y conceptos básicos de programación.</t>
  </si>
  <si>
    <t xml:space="preserve">COMPETENCIA </t>
  </si>
  <si>
    <t>SABERES ESPECÍFICOS
(saber)</t>
  </si>
  <si>
    <t xml:space="preserve">HABILIDADES O DESTREZAS 
(saber hacer) </t>
  </si>
  <si>
    <t xml:space="preserve">ACTITUDES 
(saber ser) </t>
  </si>
  <si>
    <t xml:space="preserve">APRENDER A APRENDER </t>
  </si>
  <si>
    <t>Gestionar datos para proveer la información requerida por los diferentes grupos de interés de la organización.</t>
  </si>
  <si>
    <r>
      <t xml:space="preserve">1.	</t>
    </r>
    <r>
      <rPr>
        <b/>
        <sz val="11"/>
        <rFont val="Aptos Narrow"/>
        <family val="2"/>
        <scheme val="minor"/>
      </rPr>
      <t>Datos y tipos</t>
    </r>
    <r>
      <rPr>
        <sz val="11"/>
        <rFont val="Aptos Narrow"/>
        <family val="2"/>
        <scheme val="minor"/>
      </rPr>
      <t xml:space="preserve">
1.1.	Variables
1.2.	Naturaleza de las variables
1.3.	Conversiones de variables
1.4.	Operadores
2.	</t>
    </r>
    <r>
      <rPr>
        <b/>
        <sz val="11"/>
        <rFont val="Aptos Narrow"/>
        <family val="2"/>
        <scheme val="minor"/>
      </rPr>
      <t>Estructuras, Listas, Tuplas y Diccionarios, Conjuntos</t>
    </r>
    <r>
      <rPr>
        <sz val="11"/>
        <rFont val="Aptos Narrow"/>
        <family val="2"/>
        <scheme val="minor"/>
      </rPr>
      <t xml:space="preserve">
2.1.	Tipo de estructuras.
2.2.	Llamado.
2.3.	Operaciones y funciones dentro de ellas
3.	</t>
    </r>
    <r>
      <rPr>
        <b/>
        <sz val="11"/>
        <rFont val="Aptos Narrow"/>
        <family val="2"/>
        <scheme val="minor"/>
      </rPr>
      <t>Pseudocodigo, Diagrama de Flujo, Código</t>
    </r>
    <r>
      <rPr>
        <sz val="11"/>
        <rFont val="Aptos Narrow"/>
        <family val="2"/>
        <scheme val="minor"/>
      </rPr>
      <t xml:space="preserve">
3.1.	Instrucciones
3.2.	Escritura de Instrucciones
3.3.	Regla en las instrucciones
4.	</t>
    </r>
    <r>
      <rPr>
        <b/>
        <sz val="11"/>
        <rFont val="Aptos Narrow"/>
        <family val="2"/>
        <scheme val="minor"/>
      </rPr>
      <t>Estructuras de Control de Flujo</t>
    </r>
    <r>
      <rPr>
        <sz val="11"/>
        <rFont val="Aptos Narrow"/>
        <family val="2"/>
        <scheme val="minor"/>
      </rPr>
      <t xml:space="preserve">
4.1.	Reglas y parámetros
4.2.	Algoritmos de cada estructura de control de flujo
5.	</t>
    </r>
    <r>
      <rPr>
        <b/>
        <sz val="11"/>
        <rFont val="Aptos Narrow"/>
        <family val="2"/>
        <scheme val="minor"/>
      </rPr>
      <t>Funciones</t>
    </r>
    <r>
      <rPr>
        <sz val="11"/>
        <rFont val="Aptos Narrow"/>
        <family val="2"/>
        <scheme val="minor"/>
      </rPr>
      <t xml:space="preserve">
5.1.	Distinción
5.2.	Parámetros
5.3.	Clasificaciones
5.4.	Librerías
5.5.	Objetivo de las librerías
5.6.	Crear librerías
5.7.	Numpy
5.8.	Math, Matplotlib, Pandas</t>
    </r>
  </si>
  <si>
    <t xml:space="preserve"> - Describe problemas reales de una forma metodológica, identificando sus partes y orígenes.
 - Utiliza o desarrolla algoritmos para llegar a la solución de un problema, siguiendo las pautas dadas en clase y verificando su funcionamiento con una prueba de escritorio.
 - Selecciona el algoritmo óptimo para la solución de un problema dado, después de compararlos a través de pruebas de escritorio.
 - Evalúa la eficiencia de una solución recursiva contra la eficiencia de una solución basada en estructuras repetitivas.
 - Selecciona el método de ordenamiento más adecuado al problema planteado de acuerdo con el funcionamiento de cada uno de estos métodos.
 - Implementa las soluciones propuestas en pseudocódigo.</t>
  </si>
  <si>
    <t xml:space="preserve"> - Respeta la participación de los compañeros y el profesor en clase (que muchas veces no coinciden con la propia opinión).
 - Asume una posición crítica con respecto  a la temática.
 - Demuestra orden y pulcritud en sus escritos.
 - Muestra interés para adquirir conocimientos amplios sobre la disciplina.
 - Demuestra seguridad en las exposiciones de sus ideas.
 - Toma posturas sólidas para defender sus argumentos.
 - Demuestra puntualidad en la entrega de sus trabajos.
 - Demuestra capacidad de trabajo bajo presión, ya que se cuenta con tiempo limitado para algunas actividades.</t>
  </si>
  <si>
    <t>* Reflexiona y revisa sus procesos de aprendizaje
* Autodiagnóstica y autorregula sus aprendizajes
* Autoevalúa sus procesos</t>
  </si>
  <si>
    <t xml:space="preserve">RESULTADO DE APREDIZAJE DEL PROGRAMA </t>
  </si>
  <si>
    <t xml:space="preserve">RESULTADOS DE APRENDIZAJE DE LA UNIDAD DE APZ </t>
  </si>
  <si>
    <t xml:space="preserve">CRITERIOS DE EVALUACIÓN </t>
  </si>
  <si>
    <t xml:space="preserve">ESTRATEGIAS DE EVALUACIÓN </t>
  </si>
  <si>
    <t>EVIDENCIAS DE CONOCIMIENTO</t>
  </si>
  <si>
    <t>EVIDENCIAS DE DESEMPEÑO</t>
  </si>
  <si>
    <t>EVIDENCIAS DE PRODUCTO</t>
  </si>
  <si>
    <t xml:space="preserve">METODOLOGIA:  ACTIVIDADES Y  ESTRATEGIAS  </t>
  </si>
  <si>
    <t xml:space="preserve">Nivel  Alto </t>
  </si>
  <si>
    <t xml:space="preserve">Nivel Medio </t>
  </si>
  <si>
    <t>Nivel bajo</t>
  </si>
  <si>
    <t>Propone algoritmos que generen información relevante para la organización.</t>
  </si>
  <si>
    <t>Elabora pruebas de escritorio a través de diferentes métodos de algoritmos</t>
  </si>
  <si>
    <t>El estudiante elabora y realiza satisfactoriamente pruebas de escritorio mediante toos los métodos de algoritmos</t>
  </si>
  <si>
    <t>El estudiante elabora pruebas de escritorio con algunos métodos de algoritmos</t>
  </si>
  <si>
    <t>El estudiante elabora con dificultad pruebas de escritorio con algunos métodos de algoritmos</t>
  </si>
  <si>
    <t xml:space="preserve">Aprendizaje Basado en Problemas.
Aprendizaje Basado en Proyectos </t>
  </si>
  <si>
    <t>Con la rúbrica como herramienta de evaluación de los aprendizajes adquiridos, se evidenciará:
A.) La aplicación precisa de procedimientos seleccionados
B.)  La comprensión y aplicación de conceptos teóricos relevantes para la resolución del problema, incluyendo la precisión en el uso de fórmulas, teoremas o principios pertinentes.
C.) La correcta interpretación de los datos, las condiciones del problema y los resultados alcanzados.</t>
  </si>
  <si>
    <t xml:space="preserve">Con la rúbrica como herramienta de evaluación del desempeño se evidenciará:
A.) La claridad en la presentación del razonamiento.
B.) La  metodología utilizada para llegar a la solución.
C.) la capacidad para identificar y manejar adecuadamente las etapas del proceso de resolución.
D.) la eficiencia en el uso de recursos y tiempo. </t>
  </si>
  <si>
    <r>
      <t xml:space="preserve">Utilizando la rúbrica como herramienta de evaluación, se valorara en el informe final,  la solución numérica o analítica correcta, la verificación de la solución para asegurar su validez, la presentación adecuada de los resultados con unidades correctas y cifras significativas, así como la interpretación de las implicaciones de la solución dentro del contexto del problema planteado
</t>
    </r>
    <r>
      <rPr>
        <b/>
        <sz val="11"/>
        <color theme="1"/>
        <rFont val="Aptos Narrow"/>
        <family val="2"/>
        <scheme val="minor"/>
      </rPr>
      <t>Problema</t>
    </r>
    <r>
      <rPr>
        <sz val="11"/>
        <color theme="1"/>
        <rFont val="Aptos Narrow"/>
        <family val="2"/>
        <scheme val="minor"/>
      </rPr>
      <t xml:space="preserve">
El informe final puede ser 
Productos Tangibles:
Informes, documentos técnicos, manuales, portafolios o presentaciones que documentan el proceso y los resultados del problema.
Evaluaciones ecritas 
Presentaciones o Demostraciones:
Exposiciones públicas, presentaciones orales o demostraciones ante compañeros
</t>
    </r>
    <r>
      <rPr>
        <b/>
        <sz val="11"/>
        <color theme="1"/>
        <rFont val="Aptos Narrow"/>
        <family val="2"/>
        <scheme val="minor"/>
      </rPr>
      <t>Proyecto</t>
    </r>
    <r>
      <rPr>
        <sz val="11"/>
        <color theme="1"/>
        <rFont val="Aptos Narrow"/>
        <family val="2"/>
        <scheme val="minor"/>
      </rPr>
      <t xml:space="preserve">
Portafolios:
Recopilación de trabajos, diseños, análisis, investigaciones y reflexiones relacionadas con el proyecto.
Puede incluir evidencia de la planificación, el proceso de ejecución, los resultados obtenidos y las lecciones aprendidas.
Entregables Finales:
Documentos finales que resumen los hallazgos, conclusiones y recomendaciones del proyecto.
Productos finales que cumplen con los objetivos y criterios establecidos al inicio del proyecto.
Impacto o Aplicación Práctica:
Pruebas de concepto, implementaciones piloto o evidencia de la aplicación práctica de los resultados del proyecto en situaciones reales.</t>
    </r>
  </si>
  <si>
    <r>
      <rPr>
        <b/>
        <sz val="11"/>
        <color theme="1"/>
        <rFont val="Aptos Narrow"/>
        <family val="2"/>
        <scheme val="minor"/>
      </rPr>
      <t xml:space="preserve">Aprendizaje Basado en Problemas. </t>
    </r>
    <r>
      <rPr>
        <sz val="11"/>
        <color theme="1"/>
        <rFont val="Aptos Narrow"/>
        <family val="2"/>
        <scheme val="minor"/>
      </rPr>
      <t xml:space="preserve">
1. Leer y analizar el escenario o situación problema.
2. Identificar los objetivos de aprendizaje.
3. Identificar el conocimiento necesario previo y, reconocer saberes que requieren mayor profundización para lograr su solución.
4. Elaborar un esquema o representación que le permita comprender el problema.
5. Elaborar un diagnóstico que le permita una aproximación a la solución del problema.
6. Elaborar un plan de trabajo para abordar el problema.
7. Recopilar información sobre el problema.
8. Analizar la información recogida
9. Plantear los posibles resultados y evaluar su capacidad para abordar el problema
10. Desarrollar procesos de retroalimentación que lo lleven a verificar la solución del problema o nuevas hipótesis 
11. Reflexionar sobre el desempeño individual y grupal durante el desarrollo de la actividad.
</t>
    </r>
    <r>
      <rPr>
        <b/>
        <sz val="11"/>
        <color theme="1"/>
        <rFont val="Aptos Narrow"/>
        <family val="2"/>
        <scheme val="minor"/>
      </rPr>
      <t>Aprendizaje Basado en Proyectos</t>
    </r>
    <r>
      <rPr>
        <sz val="11"/>
        <color theme="1"/>
        <rFont val="Aptos Narrow"/>
        <family val="2"/>
        <scheme val="minor"/>
      </rPr>
      <t xml:space="preserve">
1. Fase 1:
a. Planeación
b. Investigación
c. Consulta
Fase 2:
a. Diseño y Simulaciones
b. Integración y Construcción
c. Pruebas
Fase 3:
a. Revisión y corrección de fallas o errores
b. Presentación
c. Demostración</t>
    </r>
  </si>
  <si>
    <t xml:space="preserve"> Simplifica lenguaje de código a través de  estructuras de control de flujo</t>
  </si>
  <si>
    <t>El estudiante simplifica correctamente un código de programación a traves de todas la estructuras de control de flujo.</t>
  </si>
  <si>
    <t>El estudiante simplifica un código de programación con algunas de las estructuras de control de flujo.</t>
  </si>
  <si>
    <t>El estudiante se le dificulta simplificar un código de programación a traves de las estructuras de control de flujo.</t>
  </si>
  <si>
    <t>Aplica reglas de la programación estructurada, donde diseña, codifica y optimiza  algoritmos que impliquen el uso de funciones y estructuras de control de flujo.</t>
  </si>
  <si>
    <t>El estudiante aplica correctamente todas las reglas de la programación estructurada, para la elaboración de un programa</t>
  </si>
  <si>
    <t>El estudiante aplica algunas reglas correctamente, de programación estructurada para elaborar un programa</t>
  </si>
  <si>
    <t>El estudiante no aplica ninguna regla de programación estructurada para  elaborar un programa</t>
  </si>
  <si>
    <t xml:space="preserve">RECURSOS DE APOYO </t>
  </si>
  <si>
    <t>Aula virtual
Software https://www.mathworks.com/products/matlab.html
Software GeoGebra License; Non-commercial freeware; portions under General Public License (GPL).
Microsoft 365, incluye Microsoft Office (Word, Excel, PowerPoint, Publisher, Access, Power BI, OneNote, Outlook, Project y Visio), Licencia Universitaria. 
Enginnering plus (gale).
Science infomation (gale).
Computer Science (gale).
E-Collection (ISO) (iCONTEC).
https://elibro-net.biblioteca.unicafam.edu.co/es/lc/unicafam/inicio</t>
  </si>
  <si>
    <t xml:space="preserve">BIBLIOGRAFÍA  </t>
  </si>
  <si>
    <t>Eric Matthes, Python Crash Course, 2nd edition, 2019
John Hunt, A Beginners Guide to Python 3 Programming. 2019
John Hunt, Advanced Guide to Python 3 Programming, 2019
Al Sweigart, AutomAte the Boring Stuff with Python, 2015</t>
  </si>
  <si>
    <t>CONTROL DE CAMBIOS</t>
  </si>
  <si>
    <t>FECHA DE APROBACIÓN</t>
  </si>
  <si>
    <t>DESCRIPCIÓN DEL CAMBIO</t>
  </si>
  <si>
    <t>DD</t>
  </si>
  <si>
    <t>MM</t>
  </si>
  <si>
    <t>AAAA</t>
  </si>
  <si>
    <t>Creación del Documento</t>
  </si>
  <si>
    <t>CONTROL DE DOCUMENTOS</t>
  </si>
  <si>
    <t>ELABORO</t>
  </si>
  <si>
    <t>NOMBRES Y APELLIDOS</t>
  </si>
  <si>
    <t>CARGO</t>
  </si>
  <si>
    <t>FIRMA</t>
  </si>
  <si>
    <t>REVISO</t>
  </si>
  <si>
    <t>Miller Alexander Quiroga Campos</t>
  </si>
  <si>
    <t>Profesor de Ciencia de Datos y TAGD</t>
  </si>
  <si>
    <t>Miller A. Quiroga Campos</t>
  </si>
  <si>
    <t>APROBÓ</t>
  </si>
  <si>
    <t>PAT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</si>
</sst>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Verdana"/>
      <family val="2"/>
    </font>
    <font>
      <b/>
      <sz val="11"/>
      <color rgb="FFFFFFFF"/>
      <name val="Verdana"/>
      <family val="2"/>
    </font>
    <font>
      <b/>
      <sz val="11"/>
      <color rgb="FF000000"/>
      <name val="Verdana"/>
      <family val="2"/>
    </font>
    <font>
      <b/>
      <sz val="12"/>
      <color theme="1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  <font>
      <b/>
      <sz val="11"/>
      <color theme="0"/>
      <name val="Verdana"/>
      <family val="2"/>
    </font>
    <font>
      <sz val="11"/>
      <color theme="1"/>
      <name val="Verdana"/>
      <family val="2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1F4E78"/>
        <bgColor rgb="FF000000"/>
      </patternFill>
    </fill>
    <fill>
      <patternFill patternType="solid">
        <fgColor rgb="FFBDD7EE"/>
        <bgColor indexed="64"/>
      </patternFill>
    </fill>
    <fill>
      <patternFill patternType="solid">
        <fgColor rgb="FF1F4E78"/>
        <bgColor indexed="64"/>
      </patternFill>
    </fill>
    <fill>
      <patternFill patternType="solid">
        <fgColor rgb="FFFFFFFF"/>
        <bgColor rgb="FF000000"/>
      </patternFill>
    </fill>
  </fills>
  <borders count="4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35">
    <xf numFmtId="0" fontId="0" fillId="0" borderId="0" xfId="0"/>
    <xf numFmtId="0" fontId="3" fillId="0" borderId="1" xfId="0" applyFont="1" applyBorder="1" applyAlignment="1">
      <alignment horizontal="center" vertical="center" wrapText="1"/>
    </xf>
    <xf numFmtId="0" fontId="0" fillId="2" borderId="0" xfId="0" applyFill="1"/>
    <xf numFmtId="0" fontId="9" fillId="0" borderId="6" xfId="0" applyFont="1" applyBorder="1" applyAlignment="1">
      <alignment horizontal="center" vertical="center" wrapText="1"/>
    </xf>
    <xf numFmtId="0" fontId="9" fillId="0" borderId="8" xfId="0" applyFont="1" applyBorder="1" applyAlignment="1">
      <alignment horizontal="left" vertical="center" wrapText="1"/>
    </xf>
    <xf numFmtId="1" fontId="11" fillId="0" borderId="13" xfId="0" applyNumberFormat="1" applyFont="1" applyBorder="1" applyAlignment="1">
      <alignment horizontal="left" vertical="center" wrapText="1"/>
    </xf>
    <xf numFmtId="0" fontId="10" fillId="3" borderId="17" xfId="0" applyFont="1" applyFill="1" applyBorder="1" applyAlignment="1">
      <alignment vertical="center" wrapText="1"/>
    </xf>
    <xf numFmtId="0" fontId="1" fillId="0" borderId="6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9" fillId="0" borderId="41" xfId="0" applyFont="1" applyBorder="1" applyAlignment="1">
      <alignment horizontal="left" vertical="center" wrapText="1"/>
    </xf>
    <xf numFmtId="0" fontId="9" fillId="0" borderId="40" xfId="0" applyFont="1" applyBorder="1" applyAlignment="1">
      <alignment horizontal="left" vertical="center" wrapText="1"/>
    </xf>
    <xf numFmtId="0" fontId="9" fillId="0" borderId="0" xfId="0" applyFont="1" applyAlignment="1">
      <alignment horizontal="center" vertical="center" wrapText="1"/>
    </xf>
    <xf numFmtId="0" fontId="0" fillId="0" borderId="42" xfId="0" applyBorder="1"/>
    <xf numFmtId="0" fontId="9" fillId="0" borderId="43" xfId="0" applyFont="1" applyBorder="1" applyAlignment="1">
      <alignment horizontal="left" vertical="center" wrapText="1"/>
    </xf>
    <xf numFmtId="0" fontId="9" fillId="0" borderId="28" xfId="0" applyFont="1" applyBorder="1" applyAlignment="1">
      <alignment horizontal="left" vertical="center" wrapText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0" borderId="12" xfId="0" applyFont="1" applyBorder="1" applyAlignment="1" applyProtection="1">
      <alignment horizontal="center" vertical="center" wrapText="1"/>
      <protection hidden="1"/>
    </xf>
    <xf numFmtId="0" fontId="13" fillId="2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8" fillId="5" borderId="2" xfId="0" applyFont="1" applyFill="1" applyBorder="1" applyAlignment="1">
      <alignment horizontal="left" vertical="center" wrapText="1"/>
    </xf>
    <xf numFmtId="0" fontId="8" fillId="5" borderId="9" xfId="0" applyFont="1" applyFill="1" applyBorder="1" applyAlignment="1">
      <alignment horizontal="left" vertical="center" wrapText="1"/>
    </xf>
    <xf numFmtId="0" fontId="8" fillId="5" borderId="14" xfId="0" applyFont="1" applyFill="1" applyBorder="1" applyAlignment="1">
      <alignment horizontal="left" vertical="center" wrapText="1"/>
    </xf>
    <xf numFmtId="0" fontId="8" fillId="5" borderId="18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left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5" borderId="7" xfId="1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5" xfId="0" applyFont="1" applyFill="1" applyBorder="1" applyAlignment="1" applyProtection="1">
      <alignment horizontal="center" vertical="center" wrapText="1"/>
      <protection hidden="1"/>
    </xf>
    <xf numFmtId="0" fontId="3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 applyProtection="1">
      <alignment horizontal="center" vertical="center" wrapText="1"/>
      <protection locked="0"/>
    </xf>
    <xf numFmtId="0" fontId="5" fillId="0" borderId="1" xfId="0" applyFont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9" fillId="0" borderId="3" xfId="0" applyFont="1" applyBorder="1" applyAlignment="1">
      <alignment horizontal="center" vertical="center" wrapText="1"/>
    </xf>
    <xf numFmtId="0" fontId="9" fillId="0" borderId="4" xfId="0" applyFont="1" applyBorder="1" applyAlignment="1">
      <alignment horizontal="center" vertical="center" wrapText="1"/>
    </xf>
    <xf numFmtId="0" fontId="9" fillId="0" borderId="5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9" fillId="0" borderId="11" xfId="0" applyFont="1" applyBorder="1" applyAlignment="1">
      <alignment horizontal="center" vertical="center" wrapText="1"/>
    </xf>
    <xf numFmtId="0" fontId="9" fillId="0" borderId="12" xfId="0" applyFont="1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11" fillId="0" borderId="15" xfId="0" applyFont="1" applyBorder="1" applyAlignment="1">
      <alignment horizontal="center" vertical="center" wrapText="1"/>
    </xf>
    <xf numFmtId="0" fontId="11" fillId="0" borderId="16" xfId="0" applyFont="1" applyBorder="1" applyAlignment="1">
      <alignment horizontal="center" vertical="center" wrapText="1"/>
    </xf>
    <xf numFmtId="0" fontId="11" fillId="0" borderId="19" xfId="0" applyFont="1" applyBorder="1" applyAlignment="1">
      <alignment horizontal="left" vertical="center" wrapText="1"/>
    </xf>
    <xf numFmtId="0" fontId="11" fillId="0" borderId="20" xfId="0" applyFont="1" applyBorder="1" applyAlignment="1">
      <alignment horizontal="left" vertical="center" wrapText="1"/>
    </xf>
    <xf numFmtId="0" fontId="8" fillId="5" borderId="21" xfId="0" applyFont="1" applyFill="1" applyBorder="1" applyAlignment="1">
      <alignment horizontal="center" vertical="center" wrapText="1"/>
    </xf>
    <xf numFmtId="0" fontId="8" fillId="5" borderId="5" xfId="0" applyFont="1" applyFill="1" applyBorder="1" applyAlignment="1">
      <alignment horizontal="center" vertical="center" wrapText="1"/>
    </xf>
    <xf numFmtId="0" fontId="8" fillId="5" borderId="3" xfId="0" applyFont="1" applyFill="1" applyBorder="1" applyAlignment="1">
      <alignment horizontal="center" vertical="center" wrapText="1"/>
    </xf>
    <xf numFmtId="0" fontId="8" fillId="5" borderId="4" xfId="0" applyFont="1" applyFill="1" applyBorder="1" applyAlignment="1">
      <alignment horizontal="center" vertical="center" wrapText="1"/>
    </xf>
    <xf numFmtId="0" fontId="8" fillId="5" borderId="22" xfId="1" applyFont="1" applyFill="1" applyBorder="1" applyAlignment="1">
      <alignment horizontal="center" vertical="center" wrapText="1"/>
    </xf>
    <xf numFmtId="0" fontId="8" fillId="5" borderId="23" xfId="1" applyFont="1" applyFill="1" applyBorder="1" applyAlignment="1">
      <alignment horizontal="center" vertical="center" wrapText="1"/>
    </xf>
    <xf numFmtId="0" fontId="11" fillId="3" borderId="9" xfId="0" applyFont="1" applyFill="1" applyBorder="1" applyAlignment="1">
      <alignment vertical="center" wrapText="1"/>
    </xf>
    <xf numFmtId="0" fontId="11" fillId="3" borderId="1" xfId="0" applyFont="1" applyFill="1" applyBorder="1" applyAlignment="1">
      <alignment vertical="center" wrapText="1"/>
    </xf>
    <xf numFmtId="0" fontId="11" fillId="3" borderId="14" xfId="0" applyFont="1" applyFill="1" applyBorder="1" applyAlignment="1">
      <alignment vertical="center" wrapText="1"/>
    </xf>
    <xf numFmtId="0" fontId="11" fillId="3" borderId="29" xfId="0" applyFont="1" applyFill="1" applyBorder="1" applyAlignment="1">
      <alignment vertical="center" wrapText="1"/>
    </xf>
    <xf numFmtId="0" fontId="11" fillId="3" borderId="24" xfId="0" applyFont="1" applyFill="1" applyBorder="1" applyAlignment="1">
      <alignment vertical="top" wrapText="1"/>
    </xf>
    <xf numFmtId="0" fontId="11" fillId="3" borderId="25" xfId="0" applyFont="1" applyFill="1" applyBorder="1" applyAlignment="1">
      <alignment vertical="top" wrapText="1"/>
    </xf>
    <xf numFmtId="0" fontId="11" fillId="3" borderId="26" xfId="0" applyFont="1" applyFill="1" applyBorder="1" applyAlignment="1">
      <alignment vertical="top" wrapText="1"/>
    </xf>
    <xf numFmtId="0" fontId="11" fillId="3" borderId="27" xfId="0" applyFont="1" applyFill="1" applyBorder="1" applyAlignment="1">
      <alignment vertical="top" wrapText="1"/>
    </xf>
    <xf numFmtId="0" fontId="11" fillId="3" borderId="0" xfId="0" applyFont="1" applyFill="1" applyAlignment="1">
      <alignment vertical="top" wrapText="1"/>
    </xf>
    <xf numFmtId="0" fontId="11" fillId="3" borderId="28" xfId="0" applyFont="1" applyFill="1" applyBorder="1" applyAlignment="1">
      <alignment vertical="top" wrapText="1"/>
    </xf>
    <xf numFmtId="0" fontId="11" fillId="3" borderId="30" xfId="0" applyFont="1" applyFill="1" applyBorder="1" applyAlignment="1">
      <alignment vertical="top" wrapText="1"/>
    </xf>
    <xf numFmtId="0" fontId="11" fillId="3" borderId="31" xfId="0" applyFont="1" applyFill="1" applyBorder="1" applyAlignment="1">
      <alignment vertical="top" wrapText="1"/>
    </xf>
    <xf numFmtId="0" fontId="11" fillId="3" borderId="32" xfId="0" applyFont="1" applyFill="1" applyBorder="1" applyAlignment="1">
      <alignment vertical="top" wrapText="1"/>
    </xf>
    <xf numFmtId="0" fontId="1" fillId="0" borderId="6" xfId="1" applyBorder="1" applyAlignment="1">
      <alignment horizontal="left" vertical="top" wrapText="1"/>
    </xf>
    <xf numFmtId="0" fontId="1" fillId="0" borderId="1" xfId="1" applyBorder="1" applyAlignment="1">
      <alignment horizontal="left" vertical="top" wrapText="1"/>
    </xf>
    <xf numFmtId="0" fontId="1" fillId="0" borderId="29" xfId="1" applyBorder="1" applyAlignment="1">
      <alignment horizontal="left" vertical="top" wrapText="1"/>
    </xf>
    <xf numFmtId="0" fontId="1" fillId="0" borderId="8" xfId="1" applyBorder="1" applyAlignment="1">
      <alignment horizontal="left" vertical="top" wrapText="1"/>
    </xf>
    <xf numFmtId="0" fontId="1" fillId="0" borderId="13" xfId="1" applyBorder="1" applyAlignment="1">
      <alignment horizontal="left" vertical="top" wrapText="1"/>
    </xf>
    <xf numFmtId="0" fontId="1" fillId="0" borderId="33" xfId="1" applyBorder="1" applyAlignment="1">
      <alignment horizontal="left" vertical="top" wrapText="1"/>
    </xf>
    <xf numFmtId="0" fontId="8" fillId="5" borderId="34" xfId="0" applyFont="1" applyFill="1" applyBorder="1" applyAlignment="1">
      <alignment horizontal="center" vertical="center" wrapText="1"/>
    </xf>
    <xf numFmtId="0" fontId="8" fillId="5" borderId="36" xfId="0" applyFont="1" applyFill="1" applyBorder="1" applyAlignment="1">
      <alignment horizontal="center" vertical="center" wrapText="1"/>
    </xf>
    <xf numFmtId="0" fontId="8" fillId="5" borderId="30" xfId="0" applyFont="1" applyFill="1" applyBorder="1" applyAlignment="1">
      <alignment horizontal="center" vertical="center" wrapText="1"/>
    </xf>
    <xf numFmtId="0" fontId="8" fillId="5" borderId="31" xfId="0" applyFont="1" applyFill="1" applyBorder="1" applyAlignment="1">
      <alignment horizontal="center" vertical="center" wrapText="1"/>
    </xf>
    <xf numFmtId="0" fontId="8" fillId="5" borderId="35" xfId="0" applyFont="1" applyFill="1" applyBorder="1" applyAlignment="1">
      <alignment horizontal="center" vertical="center" wrapText="1"/>
    </xf>
    <xf numFmtId="0" fontId="8" fillId="5" borderId="32" xfId="0" applyFont="1" applyFill="1" applyBorder="1" applyAlignment="1">
      <alignment horizontal="center" vertical="center" wrapText="1"/>
    </xf>
    <xf numFmtId="0" fontId="8" fillId="5" borderId="8" xfId="0" applyFont="1" applyFill="1" applyBorder="1" applyAlignment="1">
      <alignment horizontal="center" vertical="center" wrapText="1"/>
    </xf>
    <xf numFmtId="0" fontId="8" fillId="5" borderId="33" xfId="0" applyFont="1" applyFill="1" applyBorder="1" applyAlignment="1">
      <alignment horizontal="center" vertical="center" wrapText="1"/>
    </xf>
    <xf numFmtId="0" fontId="11" fillId="3" borderId="37" xfId="0" applyFont="1" applyFill="1" applyBorder="1" applyAlignment="1">
      <alignment horizontal="left" vertical="center" wrapText="1"/>
    </xf>
    <xf numFmtId="0" fontId="11" fillId="3" borderId="38" xfId="0" applyFont="1" applyFill="1" applyBorder="1" applyAlignment="1">
      <alignment horizontal="left" vertical="center" wrapText="1"/>
    </xf>
    <xf numFmtId="0" fontId="2" fillId="0" borderId="34" xfId="1" applyFont="1" applyBorder="1" applyAlignment="1">
      <alignment horizontal="left" vertical="center" wrapText="1"/>
    </xf>
    <xf numFmtId="0" fontId="1" fillId="0" borderId="35" xfId="1" applyBorder="1" applyAlignment="1">
      <alignment horizontal="left" vertical="center" wrapText="1"/>
    </xf>
    <xf numFmtId="0" fontId="1" fillId="0" borderId="27" xfId="1" applyBorder="1" applyAlignment="1">
      <alignment horizontal="left" vertical="center" wrapText="1"/>
    </xf>
    <xf numFmtId="0" fontId="1" fillId="0" borderId="28" xfId="1" applyBorder="1" applyAlignment="1">
      <alignment horizontal="left" vertical="center" wrapText="1"/>
    </xf>
    <xf numFmtId="0" fontId="1" fillId="0" borderId="30" xfId="1" applyBorder="1" applyAlignment="1">
      <alignment horizontal="left" vertical="center" wrapText="1"/>
    </xf>
    <xf numFmtId="0" fontId="1" fillId="0" borderId="32" xfId="1" applyBorder="1" applyAlignment="1">
      <alignment horizontal="left" vertical="center" wrapText="1"/>
    </xf>
    <xf numFmtId="0" fontId="1" fillId="0" borderId="34" xfId="1" applyBorder="1" applyAlignment="1">
      <alignment horizontal="left" vertical="top" wrapText="1"/>
    </xf>
    <xf numFmtId="0" fontId="1" fillId="0" borderId="35" xfId="1" applyBorder="1" applyAlignment="1">
      <alignment horizontal="left" vertical="top" wrapText="1"/>
    </xf>
    <xf numFmtId="0" fontId="1" fillId="0" borderId="27" xfId="1" applyBorder="1" applyAlignment="1">
      <alignment horizontal="left" vertical="top" wrapText="1"/>
    </xf>
    <xf numFmtId="0" fontId="1" fillId="0" borderId="28" xfId="1" applyBorder="1" applyAlignment="1">
      <alignment horizontal="left" vertical="top" wrapText="1"/>
    </xf>
    <xf numFmtId="0" fontId="1" fillId="0" borderId="30" xfId="1" applyBorder="1" applyAlignment="1">
      <alignment horizontal="left" vertical="top" wrapText="1"/>
    </xf>
    <xf numFmtId="0" fontId="1" fillId="0" borderId="32" xfId="1" applyBorder="1" applyAlignment="1">
      <alignment horizontal="left" vertical="top" wrapText="1"/>
    </xf>
    <xf numFmtId="0" fontId="0" fillId="0" borderId="34" xfId="0" applyBorder="1" applyAlignment="1">
      <alignment horizontal="left" vertical="top" wrapText="1"/>
    </xf>
    <xf numFmtId="0" fontId="0" fillId="0" borderId="35" xfId="0" applyBorder="1" applyAlignment="1">
      <alignment horizontal="left" vertical="top" wrapText="1"/>
    </xf>
    <xf numFmtId="0" fontId="0" fillId="0" borderId="27" xfId="0" applyBorder="1" applyAlignment="1">
      <alignment horizontal="left" vertical="top" wrapText="1"/>
    </xf>
    <xf numFmtId="0" fontId="0" fillId="0" borderId="28" xfId="0" applyBorder="1" applyAlignment="1">
      <alignment horizontal="left" vertical="top" wrapText="1"/>
    </xf>
    <xf numFmtId="0" fontId="0" fillId="0" borderId="39" xfId="0" applyBorder="1" applyAlignment="1">
      <alignment horizontal="left" vertical="top" wrapText="1"/>
    </xf>
    <xf numFmtId="0" fontId="0" fillId="0" borderId="40" xfId="0" applyBorder="1" applyAlignment="1">
      <alignment horizontal="left" vertical="top" wrapText="1"/>
    </xf>
    <xf numFmtId="0" fontId="0" fillId="0" borderId="34" xfId="1" applyFont="1" applyBorder="1" applyAlignment="1">
      <alignment horizontal="left" vertical="top" wrapText="1"/>
    </xf>
    <xf numFmtId="0" fontId="0" fillId="0" borderId="8" xfId="1" applyFont="1" applyBorder="1" applyAlignment="1">
      <alignment horizontal="left" vertical="top" wrapText="1"/>
    </xf>
    <xf numFmtId="0" fontId="8" fillId="5" borderId="2" xfId="0" applyFont="1" applyFill="1" applyBorder="1" applyAlignment="1">
      <alignment horizontal="center" vertical="center" wrapText="1"/>
    </xf>
    <xf numFmtId="0" fontId="8" fillId="5" borderId="14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29" xfId="0" applyFont="1" applyFill="1" applyBorder="1" applyAlignment="1">
      <alignment horizontal="center" vertical="center" wrapText="1"/>
    </xf>
    <xf numFmtId="0" fontId="2" fillId="5" borderId="34" xfId="0" applyFont="1" applyFill="1" applyBorder="1" applyAlignment="1">
      <alignment horizontal="center" vertical="center" wrapText="1"/>
    </xf>
    <xf numFmtId="0" fontId="2" fillId="5" borderId="35" xfId="0" applyFont="1" applyFill="1" applyBorder="1" applyAlignment="1">
      <alignment horizontal="center" vertical="center" wrapText="1"/>
    </xf>
    <xf numFmtId="0" fontId="2" fillId="5" borderId="30" xfId="0" applyFont="1" applyFill="1" applyBorder="1" applyAlignment="1">
      <alignment horizontal="center" vertical="center" wrapText="1"/>
    </xf>
    <xf numFmtId="0" fontId="2" fillId="5" borderId="32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 applyProtection="1">
      <alignment horizontal="center" vertical="center" wrapText="1"/>
      <protection hidden="1"/>
    </xf>
    <xf numFmtId="0" fontId="14" fillId="0" borderId="6" xfId="1" applyFont="1" applyBorder="1" applyAlignment="1">
      <alignment horizontal="left" vertical="center" wrapText="1"/>
    </xf>
    <xf numFmtId="0" fontId="11" fillId="0" borderId="6" xfId="1" applyFont="1" applyBorder="1" applyAlignment="1">
      <alignment horizontal="left" vertical="center" wrapText="1"/>
    </xf>
    <xf numFmtId="0" fontId="11" fillId="0" borderId="8" xfId="1" applyFont="1" applyBorder="1" applyAlignment="1">
      <alignment horizontal="left" vertical="center" wrapText="1"/>
    </xf>
    <xf numFmtId="0" fontId="14" fillId="0" borderId="29" xfId="1" applyFont="1" applyBorder="1" applyAlignment="1">
      <alignment horizontal="left" vertical="center" wrapText="1"/>
    </xf>
    <xf numFmtId="0" fontId="11" fillId="0" borderId="29" xfId="1" applyFont="1" applyBorder="1" applyAlignment="1">
      <alignment horizontal="left" vertical="center" wrapText="1"/>
    </xf>
    <xf numFmtId="0" fontId="11" fillId="0" borderId="33" xfId="1" applyFont="1" applyBorder="1" applyAlignment="1">
      <alignment horizontal="left" vertical="center" wrapText="1"/>
    </xf>
    <xf numFmtId="0" fontId="12" fillId="6" borderId="39" xfId="0" applyFont="1" applyFill="1" applyBorder="1" applyAlignment="1" applyProtection="1">
      <alignment horizontal="center" vertical="center" wrapText="1"/>
      <protection hidden="1"/>
    </xf>
    <xf numFmtId="0" fontId="12" fillId="6" borderId="44" xfId="0" applyFont="1" applyFill="1" applyBorder="1" applyAlignment="1" applyProtection="1">
      <alignment horizontal="center" vertical="center" wrapText="1"/>
      <protection hidden="1"/>
    </xf>
    <xf numFmtId="0" fontId="12" fillId="6" borderId="11" xfId="0" applyFont="1" applyFill="1" applyBorder="1" applyAlignment="1" applyProtection="1">
      <alignment horizontal="center" vertical="center" wrapText="1"/>
      <protection hidden="1"/>
    </xf>
    <xf numFmtId="0" fontId="12" fillId="6" borderId="12" xfId="0" applyFont="1" applyFill="1" applyBorder="1" applyAlignment="1" applyProtection="1">
      <alignment horizontal="center" vertical="center" wrapText="1"/>
      <protection hidden="1"/>
    </xf>
    <xf numFmtId="0" fontId="12" fillId="6" borderId="25" xfId="0" applyFont="1" applyFill="1" applyBorder="1" applyAlignment="1" applyProtection="1">
      <alignment horizontal="center" vertical="center" wrapText="1"/>
      <protection hidden="1"/>
    </xf>
    <xf numFmtId="0" fontId="12" fillId="6" borderId="26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Border="1" applyAlignment="1" applyProtection="1">
      <alignment horizontal="center" vertical="center" wrapText="1"/>
      <protection hidden="1"/>
    </xf>
    <xf numFmtId="0" fontId="13" fillId="3" borderId="1" xfId="0" applyFont="1" applyFill="1" applyBorder="1" applyAlignment="1" applyProtection="1">
      <alignment horizontal="center" vertical="center" wrapText="1"/>
      <protection hidden="1"/>
    </xf>
    <xf numFmtId="0" fontId="3" fillId="7" borderId="10" xfId="0" applyFont="1" applyFill="1" applyBorder="1" applyAlignment="1">
      <alignment horizontal="center" wrapText="1"/>
    </xf>
    <xf numFmtId="0" fontId="3" fillId="7" borderId="11" xfId="0" applyFont="1" applyFill="1" applyBorder="1" applyAlignment="1">
      <alignment horizontal="center" wrapText="1"/>
    </xf>
    <xf numFmtId="0" fontId="3" fillId="7" borderId="12" xfId="0" applyFont="1" applyFill="1" applyBorder="1" applyAlignment="1">
      <alignment horizontal="center" wrapText="1"/>
    </xf>
  </cellXfs>
  <cellStyles count="2">
    <cellStyle name="Normal" xfId="0" builtinId="0"/>
    <cellStyle name="Normal 2 4 3" xfId="1" xr:uid="{2D7470D2-55E9-4113-B6FA-FF04996F2533}"/>
  </cellStyles>
  <dxfs count="0"/>
  <tableStyles count="0" defaultTableStyle="TableStyleMedium2" defaultPivotStyle="PivotStyleLight16"/>
  <colors>
    <mruColors>
      <color rgb="FF1F4E7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microsoft.com/office/2017/06/relationships/rdRichValueStructure" Target="richData/rdrichvaluestructure.xml"/><Relationship Id="rId3" Type="http://schemas.openxmlformats.org/officeDocument/2006/relationships/externalLink" Target="externalLinks/externalLink2.xml"/><Relationship Id="rId7" Type="http://schemas.openxmlformats.org/officeDocument/2006/relationships/theme" Target="theme/theme1.xml"/><Relationship Id="rId12" Type="http://schemas.microsoft.com/office/2017/06/relationships/rdRichValue" Target="richData/rdrichvalue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microsoft.com/office/2022/10/relationships/richValueRel" Target="richData/richValueRel.xml"/><Relationship Id="rId5" Type="http://schemas.openxmlformats.org/officeDocument/2006/relationships/externalLink" Target="externalLinks/externalLink4.xml"/><Relationship Id="rId15" Type="http://schemas.openxmlformats.org/officeDocument/2006/relationships/calcChain" Target="calcChain.xml"/><Relationship Id="rId10" Type="http://schemas.openxmlformats.org/officeDocument/2006/relationships/sheetMetadata" Target="metadata.xml"/><Relationship Id="rId4" Type="http://schemas.openxmlformats.org/officeDocument/2006/relationships/externalLink" Target="externalLinks/externalLink3.xml"/><Relationship Id="rId9" Type="http://schemas.openxmlformats.org/officeDocument/2006/relationships/sharedStrings" Target="sharedStrings.xml"/><Relationship Id="rId14" Type="http://schemas.microsoft.com/office/2017/06/relationships/rdRichValueTypes" Target="richData/rdRichValueTyp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eduardo_rodrigueza_unicafam_edu_co/Documents/Desktop/UA%20Desarrollo%20de%20Aplicaciones%20para%20Telecomunicacion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yuber/Dropbox/Espacio%20familiar/UNIR/RA/Matriz%20Resultados%20de%20Aprendizaje%20Especializaci&#243;n%20GSS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C23EED28/Formato%20UA%20Programa%20de%20Ingenieri&#769;a%20de%20Telecomunicaciones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personal/carlos_carrasco_unicafam_edu_co/Documents/En%20proceso/Plan%202023%20Circuitos%20electr&#243;nicos%20II%20V02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ervicios/OneDrive%20-%20Fundaci&#243;n%20Universitaria%20Cafam/Santiago/UA%20guias/8.%20Octavo%20semestre%20UA%20Espec&#237;fic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Desarrollo Aplicaciones I"/>
      <sheetName val="Desarrollo Aplicaciones II"/>
    </sheetNames>
    <sheetDataSet>
      <sheetData sheetId="0">
        <row r="2">
          <cell r="B2" t="str">
            <v>Diseñar la infraestructura de las redes de datos, sistemas telemáticos y radiocomunicaciones, para cubrir los requerimientos, necesidades y funcionamiento de los sistemas de comunicaciones de las organizaciones, bajo condiciones de calidad, factibilidad técnica, económica y de sustentabilidad; teniendo en cuenta las Arquitecturas, estándares, modelos, marcos generales y legales de telecomunicaciones.</v>
          </cell>
        </row>
        <row r="3">
          <cell r="B3" t="str">
            <v>Aplicar los elementos conceptuales de la generación y gestión de proyectos asociados a plataformas, sistemas y servicios de las Tecnologías de la información y las Comunicaciones; entendiendo la necesidad de estos en el avance y consolidación de las organizaciones con criterios de optimización y generación de valor.</v>
          </cell>
        </row>
        <row r="4">
          <cell r="B4" t="str">
            <v xml:space="preserve">Analizar el funcionamiento de circuitos eléctricos y electrónicos de los sistemas de telecomunicaciones, y su configuración a través del desarrollo de programas informáticos para telecomunicaciones; teniendo en cuenta las metodologías de desarrollo de software, los estándares y normas técnicas, buscando la optimización de los recursos disponibles. </v>
          </cell>
        </row>
        <row r="5">
          <cell r="B5" t="str">
            <v xml:space="preserve"> </v>
          </cell>
        </row>
        <row r="6">
          <cell r="B6" t="str">
            <v>Comp5</v>
          </cell>
        </row>
        <row r="7">
          <cell r="B7" t="str">
            <v>Comp6</v>
          </cell>
        </row>
        <row r="8">
          <cell r="B8" t="str">
            <v>Comp7</v>
          </cell>
        </row>
        <row r="9">
          <cell r="B9" t="str">
            <v>Comp8</v>
          </cell>
        </row>
        <row r="10">
          <cell r="B10" t="str">
            <v>Comp9</v>
          </cell>
        </row>
        <row r="11">
          <cell r="B11" t="str">
            <v>Comp10</v>
          </cell>
        </row>
      </sheetData>
      <sheetData sheetId="1">
        <row r="2">
          <cell r="B2" t="str">
            <v>Desarrolla el diseño y la configuración de las redes de datos y sistemas telemáticos, teniendo en cuenta la arquitectura de red, estándares, modelos, marcos generales y necesidades de la organización.</v>
          </cell>
        </row>
        <row r="3">
          <cell r="B3" t="str">
            <v>Desarrolla el diseño y la configuración de los sistemas de radiocomunicaciones teniendo en cuenta la tecnología, estándares, modelos, normas y el marco regulatorio y legal de las telecomunicaciones.</v>
          </cell>
        </row>
        <row r="4">
          <cell r="B4" t="str">
            <v>Propone proyectos de Tecnologías de Información y de Comunicaciones (TIC), estructurando y armonizando elementos de calidad, eficiencia, economía y sustentabilidad.</v>
          </cell>
        </row>
        <row r="5">
          <cell r="B5" t="str">
            <v>Analiza el funcionamiento de circuitos eléctricos y electrónicos de los sistemas de radiocomunicaciones y redes de datos, y su configuración a través del desarrollo de programas informáticos para telecomunicaciones.</v>
          </cell>
        </row>
        <row r="6">
          <cell r="B6" t="str">
            <v xml:space="preserve"> </v>
          </cell>
        </row>
        <row r="7">
          <cell r="B7" t="str">
            <v>ResAp06</v>
          </cell>
        </row>
        <row r="8">
          <cell r="B8" t="str">
            <v>ResAp07</v>
          </cell>
        </row>
        <row r="9">
          <cell r="B9" t="str">
            <v>ResAp08</v>
          </cell>
        </row>
        <row r="10">
          <cell r="B10" t="str">
            <v>ResAp09</v>
          </cell>
        </row>
        <row r="11">
          <cell r="B11" t="str">
            <v>ResAp10</v>
          </cell>
        </row>
      </sheetData>
      <sheetData sheetId="2">
        <row r="2">
          <cell r="B2" t="str">
            <v>Fundamentos de Redes de Datos</v>
          </cell>
        </row>
      </sheetData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tríz de RA"/>
      <sheetName val="Taxonomias "/>
      <sheetName val="RA"/>
      <sheetName val="Códigos "/>
    </sheetNames>
    <sheetDataSet>
      <sheetData sheetId="0" refreshError="1"/>
      <sheetData sheetId="1" refreshError="1"/>
      <sheetData sheetId="2" refreshError="1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UA"/>
      <sheetName val="Algoritmos y Programación"/>
      <sheetName val="Programación Avanzada"/>
      <sheetName val="DesarrolloAplicaciones I"/>
      <sheetName val="DesarrolloAplicaciones II"/>
    </sheetNames>
    <sheetDataSet>
      <sheetData sheetId="0"/>
      <sheetData sheetId="1"/>
      <sheetData sheetId="2"/>
      <sheetData sheetId="3"/>
      <sheetData sheetId="4"/>
      <sheetData sheetId="5"/>
      <sheetData sheetId="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aestroCompetencias"/>
      <sheetName val="MaestroResultadosA"/>
      <sheetName val="MaestroRecursos"/>
      <sheetName val="MaestroNombreUA"/>
      <sheetName val="MaestroUA"/>
      <sheetName val="Hoja1"/>
    </sheetNames>
    <sheetDataSet>
      <sheetData sheetId="0"/>
      <sheetData sheetId="1"/>
      <sheetData sheetId="2">
        <row r="2">
          <cell r="B2"/>
        </row>
        <row r="3">
          <cell r="B3" t="str">
            <v>Acceso a Internet</v>
          </cell>
        </row>
        <row r="4">
          <cell r="B4" t="str">
            <v>Aula tradicional / (Tablero acrílico / Proyector / Otros)</v>
          </cell>
        </row>
        <row r="5">
          <cell r="B5" t="str">
            <v>Aula virtual / Acceso (MOODLE / CHAT / EMAIL / INTERNET / Otros)</v>
          </cell>
        </row>
        <row r="6">
          <cell r="B6" t="str">
            <v>Computador (escritorio / portátil)</v>
          </cell>
        </row>
        <row r="7">
          <cell r="B7" t="str">
            <v>Computador / Software automatización del diseño electrónico - EDA (Opciones: PROTEUS / MULTISIM / Otros)</v>
          </cell>
        </row>
        <row r="8">
          <cell r="B8" t="str">
            <v>Computador / Software compilador de código C# (Opciones: ECLIPSE / Otros)</v>
          </cell>
        </row>
        <row r="9">
          <cell r="B9" t="str">
            <v>Computador / Software creación y gestión mapas conceptuales (Opciones: CMAP / Otros)</v>
          </cell>
        </row>
        <row r="10">
          <cell r="B10" t="str">
            <v>Computador / Software Diagramas de Flujo de Datos (Opciones: DFD / VISIO / Otros)</v>
          </cell>
        </row>
        <row r="11">
          <cell r="B11" t="str">
            <v>Computador / Software editor de código (Opciones: NOTEPAD++ / VISUAL STUDIO / Otros)</v>
          </cell>
        </row>
        <row r="12">
          <cell r="B12" t="str">
            <v>Computador / Software hoja de cálculo (EXCEL / OPEN OFFICE / Otros)</v>
          </cell>
        </row>
        <row r="13">
          <cell r="B13" t="str">
            <v>Computador / Software para Diseño Asistido por Computador - CAD (Opciones: AUTOCAD / RHINOCEROS / SOLID WORKS / Otros)</v>
          </cell>
        </row>
        <row r="14">
          <cell r="B14" t="str">
            <v>Computador / Software procesador de texto (Opciones: WORD / LATEX / Otros)</v>
          </cell>
        </row>
        <row r="15">
          <cell r="B15" t="str">
            <v>Computador / Software procesamiento datos estadísticos (Opciones: MINITAB / R / Otros)</v>
          </cell>
        </row>
        <row r="16">
          <cell r="B16" t="str">
            <v>Computador / Software programación gráfica (Opciones: LABVIEW / SIMULINK / Otros)</v>
          </cell>
        </row>
        <row r="17">
          <cell r="B17" t="str">
            <v>Computador / Software simulación dispositivos electrónicos (Opciones: THINKERCAD / Otros)</v>
          </cell>
        </row>
        <row r="18">
          <cell r="B18" t="str">
            <v>Computador / Software simulación electromagnética (Opciones: MEEP-FDTD / FEKO / Otros)</v>
          </cell>
        </row>
        <row r="19">
          <cell r="B19" t="str">
            <v>Computador / Software simulación matemática (Opciones: MATLAB / SCILAB / OCTAVE / DERIVE / MATHCAD / Otros)</v>
          </cell>
        </row>
        <row r="20">
          <cell r="B20" t="str">
            <v>Computador / Software simulación procesos industriales (Opciones: FLEXIM / Otros)</v>
          </cell>
        </row>
        <row r="21">
          <cell r="B21" t="str">
            <v>Computador / Software simulador gráfico de red (Opciones: PACKET TRACER / GNS3 / Otros)</v>
          </cell>
        </row>
        <row r="22">
          <cell r="B22" t="str">
            <v>Laboratorio / Equipos de medición eléctrica (MULTÌMETRO / OSCILOSCOPIO / ANALIZAR ESPECTRO / Otros)</v>
          </cell>
        </row>
        <row r="23">
          <cell r="B23" t="str">
            <v>Laboratorio / Equipos de redes de telecomunicaciones</v>
          </cell>
        </row>
        <row r="24">
          <cell r="B24" t="str">
            <v>Laboratorio / Equipos fuente de energía (Generador sencillo / Generador dual / Generador de funciones)</v>
          </cell>
        </row>
        <row r="25">
          <cell r="B25" t="str">
            <v>Laboratorio / Herramienta para electricidad y electrónica (Alicate, Pinza, Destornillador, Cautín)</v>
          </cell>
        </row>
        <row r="26">
          <cell r="B26" t="str">
            <v>Laboratorio dispositivos de redes (SWITCH / ROUTER / TRANSCEIVER / MODEM / HUB</v>
          </cell>
        </row>
        <row r="27">
          <cell r="B27">
            <v>0</v>
          </cell>
        </row>
        <row r="28">
          <cell r="B28">
            <v>0</v>
          </cell>
        </row>
        <row r="29">
          <cell r="B29">
            <v>0</v>
          </cell>
        </row>
        <row r="30">
          <cell r="B30">
            <v>0</v>
          </cell>
        </row>
        <row r="31">
          <cell r="B31">
            <v>0</v>
          </cell>
        </row>
        <row r="32">
          <cell r="B32">
            <v>0</v>
          </cell>
        </row>
        <row r="33">
          <cell r="B33">
            <v>0</v>
          </cell>
        </row>
        <row r="34">
          <cell r="B34">
            <v>0</v>
          </cell>
        </row>
        <row r="35">
          <cell r="B35">
            <v>0</v>
          </cell>
        </row>
        <row r="36">
          <cell r="B36">
            <v>0</v>
          </cell>
        </row>
        <row r="37">
          <cell r="B37">
            <v>0</v>
          </cell>
        </row>
        <row r="38">
          <cell r="B38">
            <v>0</v>
          </cell>
        </row>
        <row r="39">
          <cell r="B39">
            <v>0</v>
          </cell>
        </row>
        <row r="40">
          <cell r="B40">
            <v>0</v>
          </cell>
        </row>
        <row r="41">
          <cell r="B41">
            <v>0</v>
          </cell>
        </row>
        <row r="42">
          <cell r="B42">
            <v>0</v>
          </cell>
        </row>
        <row r="43">
          <cell r="B43">
            <v>0</v>
          </cell>
        </row>
        <row r="44">
          <cell r="B44">
            <v>0</v>
          </cell>
        </row>
        <row r="45">
          <cell r="B45">
            <v>0</v>
          </cell>
        </row>
        <row r="46">
          <cell r="B46">
            <v>0</v>
          </cell>
        </row>
        <row r="47">
          <cell r="B47">
            <v>0</v>
          </cell>
        </row>
        <row r="48">
          <cell r="B48">
            <v>0</v>
          </cell>
        </row>
        <row r="49">
          <cell r="B49">
            <v>0</v>
          </cell>
        </row>
        <row r="50">
          <cell r="B50">
            <v>0</v>
          </cell>
        </row>
        <row r="51">
          <cell r="B51">
            <v>0</v>
          </cell>
        </row>
        <row r="52">
          <cell r="B52">
            <v>0</v>
          </cell>
        </row>
        <row r="53">
          <cell r="B53">
            <v>0</v>
          </cell>
        </row>
        <row r="54">
          <cell r="B54">
            <v>0</v>
          </cell>
        </row>
        <row r="55">
          <cell r="B55">
            <v>0</v>
          </cell>
        </row>
        <row r="56">
          <cell r="B56">
            <v>0</v>
          </cell>
        </row>
        <row r="57">
          <cell r="B57">
            <v>0</v>
          </cell>
        </row>
        <row r="58">
          <cell r="B58">
            <v>0</v>
          </cell>
        </row>
        <row r="59">
          <cell r="B59">
            <v>0</v>
          </cell>
        </row>
        <row r="60">
          <cell r="B60">
            <v>0</v>
          </cell>
        </row>
        <row r="61">
          <cell r="B61">
            <v>0</v>
          </cell>
        </row>
        <row r="62">
          <cell r="B62">
            <v>0</v>
          </cell>
        </row>
        <row r="63">
          <cell r="B63">
            <v>0</v>
          </cell>
        </row>
        <row r="64">
          <cell r="B64">
            <v>0</v>
          </cell>
        </row>
        <row r="65">
          <cell r="B65">
            <v>0</v>
          </cell>
        </row>
        <row r="66">
          <cell r="B66">
            <v>0</v>
          </cell>
        </row>
        <row r="67">
          <cell r="B67">
            <v>0</v>
          </cell>
        </row>
        <row r="68">
          <cell r="B68">
            <v>0</v>
          </cell>
        </row>
        <row r="69">
          <cell r="B69">
            <v>0</v>
          </cell>
        </row>
        <row r="70">
          <cell r="B70">
            <v>0</v>
          </cell>
        </row>
        <row r="71">
          <cell r="B71">
            <v>0</v>
          </cell>
        </row>
        <row r="72">
          <cell r="B72">
            <v>0</v>
          </cell>
        </row>
        <row r="73">
          <cell r="B73">
            <v>0</v>
          </cell>
        </row>
        <row r="74">
          <cell r="B74">
            <v>0</v>
          </cell>
        </row>
        <row r="75">
          <cell r="B75">
            <v>0</v>
          </cell>
        </row>
        <row r="76">
          <cell r="B76">
            <v>0</v>
          </cell>
        </row>
        <row r="77">
          <cell r="B77">
            <v>0</v>
          </cell>
        </row>
        <row r="78">
          <cell r="B78">
            <v>0</v>
          </cell>
        </row>
        <row r="79">
          <cell r="B79">
            <v>0</v>
          </cell>
        </row>
        <row r="80">
          <cell r="B80">
            <v>0</v>
          </cell>
        </row>
        <row r="81">
          <cell r="B81">
            <v>0</v>
          </cell>
        </row>
        <row r="82">
          <cell r="B82">
            <v>0</v>
          </cell>
        </row>
        <row r="83">
          <cell r="B83">
            <v>0</v>
          </cell>
        </row>
        <row r="84">
          <cell r="B84">
            <v>0</v>
          </cell>
        </row>
        <row r="85">
          <cell r="B85">
            <v>0</v>
          </cell>
        </row>
        <row r="86">
          <cell r="B86">
            <v>0</v>
          </cell>
        </row>
        <row r="87">
          <cell r="B87">
            <v>0</v>
          </cell>
        </row>
        <row r="88">
          <cell r="B88">
            <v>0</v>
          </cell>
        </row>
        <row r="89">
          <cell r="B89">
            <v>0</v>
          </cell>
        </row>
        <row r="90">
          <cell r="B90">
            <v>0</v>
          </cell>
        </row>
        <row r="91">
          <cell r="B91">
            <v>0</v>
          </cell>
        </row>
        <row r="92">
          <cell r="B92">
            <v>0</v>
          </cell>
        </row>
        <row r="93">
          <cell r="B93">
            <v>0</v>
          </cell>
        </row>
        <row r="94">
          <cell r="B94">
            <v>0</v>
          </cell>
        </row>
        <row r="95">
          <cell r="B95">
            <v>0</v>
          </cell>
        </row>
        <row r="96">
          <cell r="B96">
            <v>0</v>
          </cell>
        </row>
        <row r="97">
          <cell r="B97">
            <v>0</v>
          </cell>
        </row>
        <row r="98">
          <cell r="B98">
            <v>0</v>
          </cell>
        </row>
        <row r="99">
          <cell r="B99">
            <v>0</v>
          </cell>
        </row>
        <row r="100">
          <cell r="B100">
            <v>0</v>
          </cell>
        </row>
        <row r="101">
          <cell r="B101">
            <v>0</v>
          </cell>
        </row>
        <row r="102">
          <cell r="B102">
            <v>0</v>
          </cell>
        </row>
      </sheetData>
      <sheetData sheetId="3"/>
      <sheetData sheetId="4">
        <row r="2">
          <cell r="B2" t="str">
            <v>Fundamentos de Redes de Datos</v>
          </cell>
        </row>
      </sheetData>
      <sheetData sheetId="5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sdf"/>
      <sheetName val="Producción limpia"/>
      <sheetName val="Desarrollo de productos y servi"/>
      <sheetName val="Logística integral "/>
      <sheetName val="Practica profesional II"/>
    </sheetNames>
    <sheetDataSet>
      <sheetData sheetId="0"/>
      <sheetData sheetId="1"/>
      <sheetData sheetId="2"/>
      <sheetData sheetId="3"/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  <v>LOGO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  <k n="Text" t="s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131EC-5993-4CD6-9C60-268ECE9710A5}">
  <sheetPr codeName="Hoja4">
    <tabColor theme="8"/>
  </sheetPr>
  <dimension ref="B2:O46"/>
  <sheetViews>
    <sheetView tabSelected="1" topLeftCell="D8" workbookViewId="0">
      <selection activeCell="N13" sqref="N13:O16"/>
    </sheetView>
  </sheetViews>
  <sheetFormatPr baseColWidth="10" defaultColWidth="10.85546875" defaultRowHeight="15" x14ac:dyDescent="0.25"/>
  <cols>
    <col min="1" max="1" width="5.7109375" style="2" customWidth="1"/>
    <col min="2" max="6" width="24.7109375" style="2" customWidth="1"/>
    <col min="7" max="14" width="12.7109375" style="2" customWidth="1"/>
    <col min="15" max="15" width="24.7109375" style="2" customWidth="1"/>
    <col min="16" max="16" width="5.85546875" style="2" customWidth="1"/>
    <col min="17" max="17" width="10.85546875" style="2"/>
    <col min="18" max="18" width="14" style="2" customWidth="1"/>
    <col min="19" max="16384" width="10.85546875" style="2"/>
  </cols>
  <sheetData>
    <row r="2" spans="2:15" ht="25.5" customHeight="1" x14ac:dyDescent="0.25">
      <c r="B2" s="34" t="e" vm="1">
        <v>#VALUE!</v>
      </c>
      <c r="C2" s="35" t="s">
        <v>0</v>
      </c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</row>
    <row r="3" spans="2:15" ht="24" customHeight="1" x14ac:dyDescent="0.25">
      <c r="B3" s="34"/>
      <c r="C3" s="36" t="s">
        <v>1</v>
      </c>
      <c r="D3" s="36"/>
      <c r="E3" s="36"/>
      <c r="F3" s="36"/>
      <c r="G3" s="36"/>
      <c r="H3" s="36"/>
      <c r="I3" s="36"/>
      <c r="J3" s="36"/>
      <c r="K3" s="36"/>
      <c r="L3" s="36"/>
      <c r="M3" s="36"/>
      <c r="N3" s="36"/>
      <c r="O3" s="36"/>
    </row>
    <row r="4" spans="2:15" ht="24" customHeight="1" x14ac:dyDescent="0.25">
      <c r="B4" s="34"/>
      <c r="C4" s="36"/>
      <c r="D4" s="36"/>
      <c r="E4" s="36"/>
      <c r="F4" s="36"/>
      <c r="G4" s="36"/>
      <c r="H4" s="36"/>
      <c r="I4" s="36"/>
      <c r="J4" s="36"/>
      <c r="K4" s="36"/>
      <c r="L4" s="36"/>
      <c r="M4" s="36"/>
      <c r="N4" s="36"/>
      <c r="O4" s="36"/>
    </row>
    <row r="5" spans="2:15" ht="20.100000000000001" customHeight="1" x14ac:dyDescent="0.25">
      <c r="B5" s="18" t="s">
        <v>2</v>
      </c>
      <c r="C5" s="1" t="s">
        <v>3</v>
      </c>
      <c r="D5" s="37" t="s">
        <v>4</v>
      </c>
      <c r="E5" s="37"/>
      <c r="F5" s="37"/>
      <c r="G5" s="1">
        <v>1</v>
      </c>
      <c r="H5" s="37" t="s">
        <v>5</v>
      </c>
      <c r="I5" s="37"/>
      <c r="J5" s="37"/>
      <c r="K5" s="38"/>
      <c r="L5" s="38"/>
      <c r="M5" s="37" t="s">
        <v>6</v>
      </c>
      <c r="N5" s="37"/>
      <c r="O5" s="1" t="s">
        <v>7</v>
      </c>
    </row>
    <row r="6" spans="2:15" ht="20.100000000000001" customHeight="1" x14ac:dyDescent="0.25">
      <c r="B6" s="39"/>
      <c r="C6" s="39"/>
      <c r="D6" s="39"/>
      <c r="E6" s="39"/>
      <c r="F6" s="39"/>
      <c r="G6" s="39"/>
      <c r="H6" s="39"/>
      <c r="I6" s="39"/>
      <c r="J6" s="39"/>
      <c r="K6" s="39"/>
      <c r="L6" s="39"/>
      <c r="M6" s="39"/>
      <c r="N6" s="39"/>
      <c r="O6" s="39"/>
    </row>
    <row r="7" spans="2:15" ht="20.100000000000001" customHeight="1" thickBot="1" x14ac:dyDescent="0.3">
      <c r="B7" s="40" t="s">
        <v>8</v>
      </c>
      <c r="C7" s="40"/>
      <c r="D7" s="40"/>
      <c r="E7" s="40"/>
      <c r="F7" s="40"/>
      <c r="G7" s="40"/>
      <c r="H7" s="40"/>
      <c r="I7" s="40"/>
      <c r="J7" s="40"/>
      <c r="K7" s="40"/>
      <c r="L7" s="40"/>
      <c r="M7" s="40"/>
      <c r="N7" s="40"/>
      <c r="O7" s="40"/>
    </row>
    <row r="8" spans="2:15" ht="30" customHeight="1" x14ac:dyDescent="0.25">
      <c r="B8" s="19" t="s">
        <v>9</v>
      </c>
      <c r="C8" s="41" t="s">
        <v>10</v>
      </c>
      <c r="D8" s="42"/>
      <c r="E8" s="42"/>
      <c r="F8" s="43"/>
      <c r="G8" s="23" t="s">
        <v>11</v>
      </c>
      <c r="H8" s="41">
        <v>3</v>
      </c>
      <c r="I8" s="43"/>
      <c r="J8" s="24" t="s">
        <v>12</v>
      </c>
      <c r="K8" s="3">
        <f>H8*16</f>
        <v>48</v>
      </c>
      <c r="L8" s="26" t="s">
        <v>13</v>
      </c>
      <c r="M8" s="3">
        <f>K8*2</f>
        <v>96</v>
      </c>
      <c r="N8" s="23" t="s">
        <v>14</v>
      </c>
      <c r="O8" s="4" t="s">
        <v>84</v>
      </c>
    </row>
    <row r="9" spans="2:15" ht="30" customHeight="1" x14ac:dyDescent="0.25">
      <c r="B9" s="20" t="s">
        <v>15</v>
      </c>
      <c r="C9" s="44" t="s">
        <v>16</v>
      </c>
      <c r="D9" s="45"/>
      <c r="E9" s="45"/>
      <c r="F9" s="45"/>
      <c r="G9" s="45"/>
      <c r="H9" s="45"/>
      <c r="I9" s="46"/>
      <c r="J9" s="25" t="s">
        <v>17</v>
      </c>
      <c r="K9" s="47" t="s">
        <v>18</v>
      </c>
      <c r="L9" s="48"/>
      <c r="M9" s="49"/>
      <c r="N9" s="27" t="s">
        <v>19</v>
      </c>
      <c r="O9" s="5">
        <v>142001130301</v>
      </c>
    </row>
    <row r="10" spans="2:15" ht="30" customHeight="1" thickBot="1" x14ac:dyDescent="0.3">
      <c r="B10" s="21" t="s">
        <v>20</v>
      </c>
      <c r="C10" s="50" t="s">
        <v>21</v>
      </c>
      <c r="D10" s="51"/>
      <c r="E10" s="51"/>
      <c r="F10" s="51"/>
      <c r="G10" s="51"/>
      <c r="H10" s="51"/>
      <c r="I10" s="51"/>
      <c r="J10" s="51"/>
      <c r="K10" s="51"/>
      <c r="L10" s="51"/>
      <c r="M10" s="51"/>
      <c r="N10" s="51"/>
      <c r="O10" s="6"/>
    </row>
    <row r="11" spans="2:15" ht="42.75" customHeight="1" thickBot="1" x14ac:dyDescent="0.3">
      <c r="B11" s="22" t="s">
        <v>22</v>
      </c>
      <c r="C11" s="52" t="s">
        <v>23</v>
      </c>
      <c r="D11" s="52"/>
      <c r="E11" s="52"/>
      <c r="F11" s="52"/>
      <c r="G11" s="52"/>
      <c r="H11" s="52"/>
      <c r="I11" s="52"/>
      <c r="J11" s="52"/>
      <c r="K11" s="52"/>
      <c r="L11" s="52"/>
      <c r="M11" s="52"/>
      <c r="N11" s="52"/>
      <c r="O11" s="53"/>
    </row>
    <row r="12" spans="2:15" ht="30" customHeight="1" thickBot="1" x14ac:dyDescent="0.3">
      <c r="B12" s="54" t="s">
        <v>24</v>
      </c>
      <c r="C12" s="55"/>
      <c r="D12" s="56" t="s">
        <v>25</v>
      </c>
      <c r="E12" s="57"/>
      <c r="F12" s="57"/>
      <c r="G12" s="55"/>
      <c r="H12" s="58" t="s">
        <v>26</v>
      </c>
      <c r="I12" s="58"/>
      <c r="J12" s="58"/>
      <c r="K12" s="58" t="s">
        <v>27</v>
      </c>
      <c r="L12" s="58"/>
      <c r="M12" s="58"/>
      <c r="N12" s="58" t="s">
        <v>28</v>
      </c>
      <c r="O12" s="59"/>
    </row>
    <row r="13" spans="2:15" ht="100.5" customHeight="1" x14ac:dyDescent="0.25">
      <c r="B13" s="60" t="s">
        <v>29</v>
      </c>
      <c r="C13" s="61"/>
      <c r="D13" s="64" t="s">
        <v>30</v>
      </c>
      <c r="E13" s="65"/>
      <c r="F13" s="65"/>
      <c r="G13" s="66"/>
      <c r="H13" s="73" t="s">
        <v>31</v>
      </c>
      <c r="I13" s="73"/>
      <c r="J13" s="73"/>
      <c r="K13" s="73" t="s">
        <v>32</v>
      </c>
      <c r="L13" s="73"/>
      <c r="M13" s="73"/>
      <c r="N13" s="73" t="s">
        <v>33</v>
      </c>
      <c r="O13" s="76"/>
    </row>
    <row r="14" spans="2:15" ht="100.5" customHeight="1" x14ac:dyDescent="0.25">
      <c r="B14" s="60"/>
      <c r="C14" s="61"/>
      <c r="D14" s="67"/>
      <c r="E14" s="68"/>
      <c r="F14" s="68"/>
      <c r="G14" s="69"/>
      <c r="H14" s="74"/>
      <c r="I14" s="74"/>
      <c r="J14" s="74"/>
      <c r="K14" s="74"/>
      <c r="L14" s="74"/>
      <c r="M14" s="74"/>
      <c r="N14" s="74"/>
      <c r="O14" s="77"/>
    </row>
    <row r="15" spans="2:15" ht="100.5" customHeight="1" x14ac:dyDescent="0.25">
      <c r="B15" s="60"/>
      <c r="C15" s="61"/>
      <c r="D15" s="67"/>
      <c r="E15" s="68"/>
      <c r="F15" s="68"/>
      <c r="G15" s="69"/>
      <c r="H15" s="74"/>
      <c r="I15" s="74"/>
      <c r="J15" s="74"/>
      <c r="K15" s="74"/>
      <c r="L15" s="74"/>
      <c r="M15" s="74"/>
      <c r="N15" s="74"/>
      <c r="O15" s="77"/>
    </row>
    <row r="16" spans="2:15" ht="100.5" customHeight="1" thickBot="1" x14ac:dyDescent="0.3">
      <c r="B16" s="62"/>
      <c r="C16" s="63"/>
      <c r="D16" s="70"/>
      <c r="E16" s="71"/>
      <c r="F16" s="71"/>
      <c r="G16" s="72"/>
      <c r="H16" s="75"/>
      <c r="I16" s="75"/>
      <c r="J16" s="75"/>
      <c r="K16" s="75"/>
      <c r="L16" s="75"/>
      <c r="M16" s="75"/>
      <c r="N16" s="75"/>
      <c r="O16" s="78"/>
    </row>
    <row r="17" spans="2:15" ht="30" customHeight="1" x14ac:dyDescent="0.25">
      <c r="B17" s="109" t="s">
        <v>34</v>
      </c>
      <c r="C17" s="111" t="s">
        <v>35</v>
      </c>
      <c r="D17" s="56" t="s">
        <v>36</v>
      </c>
      <c r="E17" s="57"/>
      <c r="F17" s="55"/>
      <c r="G17" s="113" t="s">
        <v>37</v>
      </c>
      <c r="H17" s="114"/>
      <c r="I17" s="79" t="s">
        <v>38</v>
      </c>
      <c r="J17" s="83"/>
      <c r="K17" s="79" t="s">
        <v>39</v>
      </c>
      <c r="L17" s="80"/>
      <c r="M17" s="79" t="s">
        <v>40</v>
      </c>
      <c r="N17" s="83"/>
      <c r="O17" s="85" t="s">
        <v>41</v>
      </c>
    </row>
    <row r="18" spans="2:15" ht="15" customHeight="1" thickBot="1" x14ac:dyDescent="0.3">
      <c r="B18" s="110"/>
      <c r="C18" s="112"/>
      <c r="D18" s="30" t="s">
        <v>42</v>
      </c>
      <c r="E18" s="30" t="s">
        <v>43</v>
      </c>
      <c r="F18" s="30" t="s">
        <v>44</v>
      </c>
      <c r="G18" s="115"/>
      <c r="H18" s="116"/>
      <c r="I18" s="81"/>
      <c r="J18" s="84"/>
      <c r="K18" s="81"/>
      <c r="L18" s="82"/>
      <c r="M18" s="81"/>
      <c r="N18" s="84"/>
      <c r="O18" s="86"/>
    </row>
    <row r="19" spans="2:15" ht="174.75" customHeight="1" x14ac:dyDescent="0.25">
      <c r="B19" s="87" t="s">
        <v>45</v>
      </c>
      <c r="C19" s="7" t="s">
        <v>46</v>
      </c>
      <c r="D19" s="7" t="s">
        <v>47</v>
      </c>
      <c r="E19" s="7" t="s">
        <v>48</v>
      </c>
      <c r="F19" s="7" t="s">
        <v>49</v>
      </c>
      <c r="G19" s="89" t="s">
        <v>50</v>
      </c>
      <c r="H19" s="90"/>
      <c r="I19" s="95" t="s">
        <v>51</v>
      </c>
      <c r="J19" s="96"/>
      <c r="K19" s="101" t="s">
        <v>52</v>
      </c>
      <c r="L19" s="102"/>
      <c r="M19" s="107" t="s">
        <v>53</v>
      </c>
      <c r="N19" s="96"/>
      <c r="O19" s="108" t="s">
        <v>54</v>
      </c>
    </row>
    <row r="20" spans="2:15" ht="129.75" customHeight="1" x14ac:dyDescent="0.25">
      <c r="B20" s="87"/>
      <c r="C20" s="8" t="s">
        <v>55</v>
      </c>
      <c r="D20" s="8" t="s">
        <v>56</v>
      </c>
      <c r="E20" s="8" t="s">
        <v>57</v>
      </c>
      <c r="F20" s="8" t="s">
        <v>58</v>
      </c>
      <c r="G20" s="91"/>
      <c r="H20" s="92"/>
      <c r="I20" s="97"/>
      <c r="J20" s="98"/>
      <c r="K20" s="103"/>
      <c r="L20" s="104"/>
      <c r="M20" s="97"/>
      <c r="N20" s="98"/>
      <c r="O20" s="77"/>
    </row>
    <row r="21" spans="2:15" ht="117" customHeight="1" thickBot="1" x14ac:dyDescent="0.3">
      <c r="B21" s="88"/>
      <c r="C21" s="8" t="s">
        <v>59</v>
      </c>
      <c r="D21" s="8" t="s">
        <v>60</v>
      </c>
      <c r="E21" s="8" t="s">
        <v>61</v>
      </c>
      <c r="F21" s="8" t="s">
        <v>62</v>
      </c>
      <c r="G21" s="93"/>
      <c r="H21" s="94"/>
      <c r="I21" s="99"/>
      <c r="J21" s="100"/>
      <c r="K21" s="105"/>
      <c r="L21" s="106"/>
      <c r="M21" s="99"/>
      <c r="N21" s="100"/>
      <c r="O21" s="77"/>
    </row>
    <row r="22" spans="2:15" ht="15.75" hidden="1" thickBot="1" x14ac:dyDescent="0.3">
      <c r="B22" s="9"/>
      <c r="C22" s="10"/>
      <c r="D22" s="11"/>
      <c r="E22" s="11"/>
      <c r="F22" s="11"/>
      <c r="G22" s="11"/>
      <c r="H22" s="11"/>
      <c r="I22" s="11"/>
      <c r="J22"/>
      <c r="K22"/>
      <c r="L22"/>
      <c r="M22"/>
      <c r="N22"/>
      <c r="O22" s="12"/>
    </row>
    <row r="23" spans="2:15" ht="15.75" hidden="1" thickBot="1" x14ac:dyDescent="0.3">
      <c r="B23" s="9"/>
      <c r="C23" s="10"/>
      <c r="D23" s="11"/>
      <c r="E23" s="11"/>
      <c r="F23" s="11"/>
      <c r="G23" s="11"/>
      <c r="H23" s="11"/>
      <c r="I23" s="11"/>
      <c r="J23"/>
      <c r="K23"/>
      <c r="L23"/>
      <c r="M23"/>
      <c r="N23"/>
      <c r="O23" s="12"/>
    </row>
    <row r="24" spans="2:15" ht="15.75" hidden="1" thickBot="1" x14ac:dyDescent="0.3">
      <c r="B24" s="9"/>
      <c r="C24" s="10"/>
      <c r="D24" s="11"/>
      <c r="E24" s="11"/>
      <c r="F24" s="11"/>
      <c r="G24" s="11"/>
      <c r="H24" s="11"/>
      <c r="I24" s="11"/>
      <c r="J24"/>
      <c r="K24"/>
      <c r="L24"/>
      <c r="M24"/>
      <c r="N24"/>
      <c r="O24" s="12"/>
    </row>
    <row r="25" spans="2:15" ht="15.75" hidden="1" thickBot="1" x14ac:dyDescent="0.3">
      <c r="B25" s="9"/>
      <c r="C25" s="10"/>
      <c r="D25" s="11"/>
      <c r="E25" s="11"/>
      <c r="F25" s="11"/>
      <c r="G25" s="11"/>
      <c r="H25" s="11"/>
      <c r="I25" s="11"/>
      <c r="J25"/>
      <c r="K25"/>
      <c r="L25"/>
      <c r="M25"/>
      <c r="N25"/>
      <c r="O25" s="12"/>
    </row>
    <row r="26" spans="2:15" ht="15.75" hidden="1" thickBot="1" x14ac:dyDescent="0.3">
      <c r="B26" s="9"/>
      <c r="C26" s="10"/>
      <c r="D26" s="11"/>
      <c r="E26" s="11"/>
      <c r="F26" s="11"/>
      <c r="G26" s="11"/>
      <c r="H26" s="11"/>
      <c r="I26" s="11"/>
      <c r="J26"/>
      <c r="K26"/>
      <c r="L26"/>
      <c r="M26"/>
      <c r="N26"/>
      <c r="O26" s="12"/>
    </row>
    <row r="27" spans="2:15" ht="15.75" hidden="1" thickBot="1" x14ac:dyDescent="0.3">
      <c r="B27" s="9"/>
      <c r="C27" s="10"/>
      <c r="D27" s="11"/>
      <c r="E27" s="11"/>
      <c r="F27" s="11"/>
      <c r="G27" s="11"/>
      <c r="H27" s="11"/>
      <c r="I27" s="11"/>
      <c r="J27"/>
      <c r="K27"/>
      <c r="L27"/>
      <c r="M27"/>
      <c r="N27"/>
      <c r="O27" s="12"/>
    </row>
    <row r="28" spans="2:15" ht="15.75" hidden="1" thickBot="1" x14ac:dyDescent="0.3">
      <c r="B28" s="13"/>
      <c r="C28" s="14"/>
      <c r="D28" s="11"/>
      <c r="E28" s="11"/>
      <c r="F28" s="11"/>
      <c r="G28" s="11"/>
      <c r="H28" s="11"/>
      <c r="I28" s="11"/>
      <c r="J28"/>
      <c r="K28"/>
      <c r="L28"/>
      <c r="M28"/>
      <c r="N28"/>
      <c r="O28" s="12"/>
    </row>
    <row r="29" spans="2:15" ht="141.75" customHeight="1" x14ac:dyDescent="0.25">
      <c r="B29" s="28" t="s">
        <v>63</v>
      </c>
      <c r="C29" s="118" t="s">
        <v>64</v>
      </c>
      <c r="D29" s="119"/>
      <c r="E29" s="119"/>
      <c r="F29" s="119"/>
      <c r="G29" s="119"/>
      <c r="H29" s="119"/>
      <c r="I29" s="119"/>
      <c r="J29" s="119"/>
      <c r="K29" s="119"/>
      <c r="L29" s="119"/>
      <c r="M29" s="119"/>
      <c r="N29" s="119"/>
      <c r="O29" s="120"/>
    </row>
    <row r="30" spans="2:15" ht="83.25" customHeight="1" thickBot="1" x14ac:dyDescent="0.3">
      <c r="B30" s="29" t="s">
        <v>65</v>
      </c>
      <c r="C30" s="121" t="s">
        <v>66</v>
      </c>
      <c r="D30" s="122"/>
      <c r="E30" s="122"/>
      <c r="F30" s="122"/>
      <c r="G30" s="122"/>
      <c r="H30" s="122"/>
      <c r="I30" s="122"/>
      <c r="J30" s="122"/>
      <c r="K30" s="122"/>
      <c r="L30" s="122"/>
      <c r="M30" s="122"/>
      <c r="N30" s="122"/>
      <c r="O30" s="123"/>
    </row>
    <row r="32" spans="2:15" ht="24.75" customHeight="1" x14ac:dyDescent="0.25">
      <c r="B32" s="124" t="s">
        <v>67</v>
      </c>
      <c r="C32" s="125"/>
      <c r="D32" s="125"/>
      <c r="E32" s="125"/>
      <c r="F32" s="125"/>
      <c r="G32" s="125"/>
      <c r="H32" s="125"/>
      <c r="I32" s="125"/>
      <c r="J32" s="125"/>
      <c r="K32" s="125"/>
      <c r="L32" s="125"/>
      <c r="M32" s="125"/>
      <c r="N32" s="125"/>
      <c r="O32" s="125"/>
    </row>
    <row r="33" spans="2:15" ht="24.75" customHeight="1" x14ac:dyDescent="0.25">
      <c r="B33" s="117" t="s">
        <v>4</v>
      </c>
      <c r="C33" s="117"/>
      <c r="D33" s="126" t="s">
        <v>68</v>
      </c>
      <c r="E33" s="126"/>
      <c r="F33" s="126"/>
      <c r="G33" s="126"/>
      <c r="H33" s="127"/>
      <c r="I33" s="32"/>
      <c r="J33" s="117" t="s">
        <v>69</v>
      </c>
      <c r="K33" s="117"/>
      <c r="L33" s="117"/>
      <c r="M33" s="117"/>
      <c r="N33" s="117"/>
      <c r="O33" s="117"/>
    </row>
    <row r="34" spans="2:15" ht="24.75" customHeight="1" x14ac:dyDescent="0.25">
      <c r="B34" s="117"/>
      <c r="C34" s="117"/>
      <c r="D34" s="32" t="s">
        <v>70</v>
      </c>
      <c r="E34" s="33"/>
      <c r="F34" s="128" t="s">
        <v>71</v>
      </c>
      <c r="G34" s="129"/>
      <c r="H34" s="31" t="s">
        <v>72</v>
      </c>
      <c r="I34" s="31"/>
      <c r="J34" s="117"/>
      <c r="K34" s="117"/>
      <c r="L34" s="117"/>
      <c r="M34" s="117"/>
      <c r="N34" s="117"/>
      <c r="O34" s="117"/>
    </row>
    <row r="35" spans="2:15" ht="24.75" customHeight="1" x14ac:dyDescent="0.25">
      <c r="B35" s="130">
        <v>1</v>
      </c>
      <c r="C35" s="130"/>
      <c r="D35" s="16"/>
      <c r="E35" s="16"/>
      <c r="F35" s="38"/>
      <c r="G35" s="38"/>
      <c r="H35" s="15"/>
      <c r="I35" s="15"/>
      <c r="J35" s="130" t="s">
        <v>73</v>
      </c>
      <c r="K35" s="130"/>
      <c r="L35" s="130"/>
      <c r="M35" s="130"/>
      <c r="N35" s="130"/>
      <c r="O35" s="130"/>
    </row>
    <row r="36" spans="2:15" ht="24.75" customHeight="1" x14ac:dyDescent="0.25">
      <c r="B36" s="17"/>
      <c r="G36" s="17"/>
      <c r="H36" s="17"/>
      <c r="I36" s="17"/>
    </row>
    <row r="37" spans="2:15" ht="24.75" customHeight="1" x14ac:dyDescent="0.25">
      <c r="B37" s="37" t="s">
        <v>74</v>
      </c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</row>
    <row r="38" spans="2:15" ht="24.75" customHeight="1" x14ac:dyDescent="0.25">
      <c r="B38" s="37" t="s">
        <v>75</v>
      </c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</row>
    <row r="39" spans="2:15" ht="24.75" customHeight="1" x14ac:dyDescent="0.25">
      <c r="B39" s="117" t="s">
        <v>76</v>
      </c>
      <c r="C39" s="117"/>
      <c r="D39" s="117"/>
      <c r="E39" s="117"/>
      <c r="F39" s="117"/>
      <c r="G39" s="117"/>
      <c r="H39" s="117" t="s">
        <v>77</v>
      </c>
      <c r="I39" s="117"/>
      <c r="J39" s="117"/>
      <c r="K39" s="117"/>
      <c r="L39" s="117"/>
      <c r="M39" s="117" t="s">
        <v>78</v>
      </c>
      <c r="N39" s="117"/>
      <c r="O39" s="117"/>
    </row>
    <row r="40" spans="2:15" ht="24.75" customHeight="1" x14ac:dyDescent="0.25">
      <c r="B40" s="131"/>
      <c r="C40" s="131"/>
      <c r="D40" s="131"/>
      <c r="E40" s="131"/>
      <c r="F40" s="131"/>
      <c r="G40" s="131"/>
      <c r="H40" s="131"/>
      <c r="I40" s="131"/>
      <c r="J40" s="131"/>
      <c r="K40" s="131"/>
      <c r="L40" s="131"/>
      <c r="M40" s="131"/>
      <c r="N40" s="131"/>
      <c r="O40" s="131"/>
    </row>
    <row r="41" spans="2:15" ht="24.75" customHeight="1" x14ac:dyDescent="0.25">
      <c r="B41" s="117" t="s">
        <v>79</v>
      </c>
      <c r="C41" s="117"/>
      <c r="D41" s="117"/>
      <c r="E41" s="117"/>
      <c r="F41" s="117"/>
      <c r="G41" s="117"/>
      <c r="H41" s="117"/>
      <c r="I41" s="117"/>
      <c r="J41" s="117"/>
      <c r="K41" s="117"/>
      <c r="L41" s="117"/>
      <c r="M41" s="117"/>
      <c r="N41" s="117"/>
      <c r="O41" s="117"/>
    </row>
    <row r="42" spans="2:15" ht="24.75" customHeight="1" x14ac:dyDescent="0.25">
      <c r="B42" s="117" t="s">
        <v>76</v>
      </c>
      <c r="C42" s="117"/>
      <c r="D42" s="117"/>
      <c r="E42" s="117"/>
      <c r="F42" s="117"/>
      <c r="G42" s="117"/>
      <c r="H42" s="117" t="s">
        <v>77</v>
      </c>
      <c r="I42" s="117"/>
      <c r="J42" s="117"/>
      <c r="K42" s="117"/>
      <c r="L42" s="117"/>
      <c r="M42" s="117" t="s">
        <v>78</v>
      </c>
      <c r="N42" s="117"/>
      <c r="O42" s="117"/>
    </row>
    <row r="43" spans="2:15" ht="24.75" customHeight="1" x14ac:dyDescent="0.25">
      <c r="B43" s="132" t="s">
        <v>80</v>
      </c>
      <c r="C43" s="133"/>
      <c r="D43" s="133"/>
      <c r="E43" s="133"/>
      <c r="F43" s="133"/>
      <c r="G43" s="134"/>
      <c r="H43" s="132" t="s">
        <v>81</v>
      </c>
      <c r="I43" s="133"/>
      <c r="J43" s="133"/>
      <c r="K43" s="133"/>
      <c r="L43" s="134"/>
      <c r="M43" s="132" t="s">
        <v>82</v>
      </c>
      <c r="N43" s="133"/>
      <c r="O43" s="134"/>
    </row>
    <row r="44" spans="2:15" ht="24.75" customHeight="1" x14ac:dyDescent="0.25">
      <c r="B44" s="117" t="s">
        <v>83</v>
      </c>
      <c r="C44" s="117"/>
      <c r="D44" s="117"/>
      <c r="E44" s="117"/>
      <c r="F44" s="117"/>
      <c r="G44" s="117"/>
      <c r="H44" s="117"/>
      <c r="I44" s="117"/>
      <c r="J44" s="117"/>
      <c r="K44" s="117"/>
      <c r="L44" s="117"/>
      <c r="M44" s="117"/>
      <c r="N44" s="117"/>
      <c r="O44" s="117"/>
    </row>
    <row r="45" spans="2:15" ht="24.75" customHeight="1" x14ac:dyDescent="0.25">
      <c r="B45" s="117" t="s">
        <v>76</v>
      </c>
      <c r="C45" s="117"/>
      <c r="D45" s="117"/>
      <c r="E45" s="117"/>
      <c r="F45" s="117"/>
      <c r="G45" s="117"/>
      <c r="H45" s="117" t="s">
        <v>77</v>
      </c>
      <c r="I45" s="117"/>
      <c r="J45" s="117"/>
      <c r="K45" s="117"/>
      <c r="L45" s="117"/>
      <c r="M45" s="117" t="s">
        <v>78</v>
      </c>
      <c r="N45" s="117"/>
      <c r="O45" s="117"/>
    </row>
    <row r="46" spans="2:15" ht="24.75" customHeight="1" x14ac:dyDescent="0.25">
      <c r="B46" s="131"/>
      <c r="C46" s="131"/>
      <c r="D46" s="131"/>
      <c r="E46" s="131"/>
      <c r="F46" s="131"/>
      <c r="G46" s="131"/>
      <c r="H46" s="131"/>
      <c r="I46" s="131"/>
      <c r="J46" s="131"/>
      <c r="K46" s="131"/>
      <c r="L46" s="131"/>
      <c r="M46" s="131"/>
      <c r="N46" s="131"/>
      <c r="O46" s="131"/>
    </row>
  </sheetData>
  <mergeCells count="71">
    <mergeCell ref="B46:G46"/>
    <mergeCell ref="H46:L46"/>
    <mergeCell ref="M46:O46"/>
    <mergeCell ref="B43:G43"/>
    <mergeCell ref="H43:L43"/>
    <mergeCell ref="M43:O43"/>
    <mergeCell ref="B44:O44"/>
    <mergeCell ref="B45:G45"/>
    <mergeCell ref="H45:L45"/>
    <mergeCell ref="M45:O45"/>
    <mergeCell ref="B40:G40"/>
    <mergeCell ref="H40:L40"/>
    <mergeCell ref="M40:O40"/>
    <mergeCell ref="B41:O41"/>
    <mergeCell ref="B42:G42"/>
    <mergeCell ref="H42:L42"/>
    <mergeCell ref="M42:O42"/>
    <mergeCell ref="B39:G39"/>
    <mergeCell ref="H39:L39"/>
    <mergeCell ref="M39:O39"/>
    <mergeCell ref="C29:O29"/>
    <mergeCell ref="C30:O30"/>
    <mergeCell ref="B32:O32"/>
    <mergeCell ref="B33:C34"/>
    <mergeCell ref="D33:H33"/>
    <mergeCell ref="J33:O34"/>
    <mergeCell ref="F34:G34"/>
    <mergeCell ref="B35:C35"/>
    <mergeCell ref="F35:G35"/>
    <mergeCell ref="J35:O35"/>
    <mergeCell ref="B37:O37"/>
    <mergeCell ref="B38:O38"/>
    <mergeCell ref="K17:L18"/>
    <mergeCell ref="M17:N18"/>
    <mergeCell ref="O17:O18"/>
    <mergeCell ref="B19:B21"/>
    <mergeCell ref="G19:H21"/>
    <mergeCell ref="I19:J21"/>
    <mergeCell ref="K19:L21"/>
    <mergeCell ref="M19:N21"/>
    <mergeCell ref="O19:O21"/>
    <mergeCell ref="B17:B18"/>
    <mergeCell ref="C17:C18"/>
    <mergeCell ref="D17:F17"/>
    <mergeCell ref="G17:H18"/>
    <mergeCell ref="I17:J18"/>
    <mergeCell ref="B13:C16"/>
    <mergeCell ref="D13:G16"/>
    <mergeCell ref="H13:J16"/>
    <mergeCell ref="K13:M16"/>
    <mergeCell ref="N13:O16"/>
    <mergeCell ref="C10:N10"/>
    <mergeCell ref="C11:O11"/>
    <mergeCell ref="B12:C12"/>
    <mergeCell ref="D12:G12"/>
    <mergeCell ref="H12:J12"/>
    <mergeCell ref="K12:M12"/>
    <mergeCell ref="N12:O12"/>
    <mergeCell ref="B6:O6"/>
    <mergeCell ref="B7:O7"/>
    <mergeCell ref="C8:F8"/>
    <mergeCell ref="H8:I8"/>
    <mergeCell ref="C9:I9"/>
    <mergeCell ref="K9:M9"/>
    <mergeCell ref="B2:B4"/>
    <mergeCell ref="C2:O2"/>
    <mergeCell ref="C3:O4"/>
    <mergeCell ref="D5:F5"/>
    <mergeCell ref="H5:J5"/>
    <mergeCell ref="K5:L5"/>
    <mergeCell ref="M5:N5"/>
  </mergeCells>
  <pageMargins left="0.7" right="0.7" top="0.75" bottom="0.75" header="0.3" footer="0.3"/>
  <pageSetup scale="36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1Algorítmos </vt:lpstr>
      <vt:lpstr>'1Algorítmos '!Área_de_impresión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Fulbia Emilia Cerón Gomez</dc:creator>
  <cp:keywords/>
  <dc:description/>
  <cp:lastModifiedBy>Fulbia Emilia Cerón Gomez</cp:lastModifiedBy>
  <cp:revision/>
  <dcterms:created xsi:type="dcterms:W3CDTF">2024-07-26T02:49:13Z</dcterms:created>
  <dcterms:modified xsi:type="dcterms:W3CDTF">2025-07-03T13:56:32Z</dcterms:modified>
  <cp:category/>
  <cp:contentStatus/>
</cp:coreProperties>
</file>