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unicafamnet-my.sharepoint.com/personal/fulbia_ceron_unicafam_edu_co/Documents/Unicafam/Curricular/Actualizacion_UA_2025_02/TECNOLOGÍA EN ANÁLITICA Y GESTION  DE DATOS/"/>
    </mc:Choice>
  </mc:AlternateContent>
  <xr:revisionPtr revIDLastSave="6" documentId="8_{91E6580E-76A1-4F3D-BAC7-217E395BDA94}" xr6:coauthVersionLast="47" xr6:coauthVersionMax="47" xr10:uidLastSave="{4550F243-2C84-44DE-9C50-0B11B30143FA}"/>
  <bookViews>
    <workbookView xWindow="-120" yWindow="-120" windowWidth="29040" windowHeight="15720" xr2:uid="{0EB6372E-0C13-4D38-BB28-15E9351AA8C2}"/>
  </bookViews>
  <sheets>
    <sheet name="LINEA ELECTIVA ENFASIS" sheetId="7" r:id="rId1"/>
  </sheets>
  <externalReferences>
    <externalReference r:id="rId2"/>
    <externalReference r:id="rId3"/>
    <externalReference r:id="rId4"/>
    <externalReference r:id="rId5"/>
    <externalReference r:id="rId6"/>
  </externalReferences>
  <definedNames>
    <definedName name="_xlnm.Print_Area" localSheetId="0">'LINEA ELECTIVA ENFASIS'!$B$2:$O$47</definedName>
    <definedName name="Competencias">[1]MaestroCompetencias!$B$2:$B$11</definedName>
    <definedName name="CRÉDITOS">'[2]Códigos '!$AK$70:$AK$74</definedName>
    <definedName name="DatosCompleto">[3]MaestroUA!$B$2:$M$89</definedName>
    <definedName name="ingenieria">#REF!</definedName>
    <definedName name="RedacciónRecurso">[4]MaestroRecursos!$B$2:$B$102</definedName>
    <definedName name="ResultadoAprendizaje">[1]MaestroResultadosA!$B$2:$B$12</definedName>
    <definedName name="Semestre">[5]asdf!$A$13:$A$20</definedName>
    <definedName name="TIPOLOGÍA">'[2]Códigos '!$AJ$70:$AJ$72</definedName>
    <definedName name="UnidadAcademica">[3]MaestroUA!$B$2:$B$89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7" l="1"/>
  <c r="K9" i="7"/>
  <c r="J9" i="7"/>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<sst xmlns="http://schemas.openxmlformats.org/spreadsheetml/2006/main" count="99" uniqueCount="91">
  <si>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</si>
  <si>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</si>
  <si>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</si>
  <si>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</si>
  <si>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</si>
  <si>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</si>
  <si>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</si>
  <si>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</si>
  <si>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</si>
  <si>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</si>
  <si>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N° Créditos:</t>
  </si>
  <si>
    <t>TFD:</t>
  </si>
  <si>
    <t>Sincrónico</t>
  </si>
  <si>
    <t>Asíncrónico</t>
  </si>
  <si>
    <t>TTI:</t>
  </si>
  <si>
    <t>METODOLOGÍA</t>
  </si>
  <si>
    <t>VIRTUAL</t>
  </si>
  <si>
    <t>PROGRAMA:</t>
  </si>
  <si>
    <t>SEMESTRE:</t>
  </si>
  <si>
    <t>CÓDIGO:</t>
  </si>
  <si>
    <t>ÁREA DE FORMACIÓN:</t>
  </si>
  <si>
    <t xml:space="preserve">Específica </t>
  </si>
  <si>
    <t>JUSTIFICACIÓN:</t>
  </si>
  <si>
    <t xml:space="preserve">En el contexto actual de transformación digital y la creciente importancia de la analítica de datos en los entornos industriales, la implementación de la unidad de aprendizaje "LINEA ELECTIVA DE ENFASIS II - FUNDAMENTOS DE PYTHON I"  representa una oportunidad estratégica para fortalecer el perfil del Ingeniero Industrial de la Fundación Universitaria Cafam, La programación en Python se ha convertido en una herramienta fundamental para el análisis, modelamiento y optimización de procesos industriales. respondiendo a las necesidades actuales del sector industrial y preparando a los estudiantes para liderar procesos de transformación digital y mejoramiento continuo en diversos contextos organizacionales.
El contenido estructurado del programa, que abarca desde los fundamentos básicos hasta la aplicación práctica en un proyecto integrador y la preparación para una certificación internacional, garantiza que los estudiantes adquieran competencias relevantes y aplicables en su futuro desempeño profesional.
Esta formación complementaria en programación no solo enriquece el perfil técnico del ingeniero, sino que amplía su capacidad de contribuir al desarrollo económico de la ciudad y del país mediante la implementación de soluciones innovadoras basadas en datos y tecnología. Al ofrecer un lenguaje de programación ampliamente adoptado por la industria, accesible para principiantes y con alta demanda en el mercado laboral, esta electiva representa una inversión estratégica en la formación integral del ingeniero industrial del siglo XXI.
</t>
  </si>
  <si>
    <t xml:space="preserve">COMPETENCIA </t>
  </si>
  <si>
    <t>SABERES ESPECÍFICOS
(saber)</t>
  </si>
  <si>
    <t xml:space="preserve">HABILIDADES O DESTREZAS 
(saber hacer) </t>
  </si>
  <si>
    <t xml:space="preserve">ACTITUDES 
(saber ser) </t>
  </si>
  <si>
    <t xml:space="preserve">APRENDER A APRENDER </t>
  </si>
  <si>
    <t>Implementar soluciones a problemas logísticos, de operación y gestión organizacionales por medio de herramientas tecnológicas y el análisis de datos, aportando a la sostenibilidad y desarrollo organizacional.</t>
  </si>
  <si>
    <t>1. Introducción a Python I y la programación informática.
2. Tipos de datos, Variables, Operaciones Básicas de Entrada y salida, Operadores Básicos.
3.Valores Booleanos, Ejecución condicional, Bucles, Listas y su procesamiento, Operaciones Lógicas y de Bit a Bit.
4. Funciones, Tuplas, Diccionarios, Excepciones y Procesamiento de Datos.
5. Proyecto Final - Prueba Final Fundamentos Python I - Examen de certificación PCEP - Certified Entry - Level Python programmer.</t>
  </si>
  <si>
    <t>Desarrolla algoritmos y modelos computacionales que permitan simular y optimizar procesos productivos.
Crea soluciones tecnológicas que contribuyan a la sostenibilidad, mediante la optimización de recursos y la mejora de la eficiencia de los procesos industriales a través del análisis de datos y la automatización.
Aplica los conocimientos adquiridos mediante, la solución de casos prácticos relacionados con la optimzación de procesos, así mismo, con la elaboración de un proyecto integrador.</t>
  </si>
  <si>
    <t>Trabaja efectivamente de manera colaborativa en equipos multidisciplinarios, integrando las competencias de ingeniería industrial con las de análisis de datos e inteligencia artificial, en proyectos de transformación digital.
Desarrolla la capacidad para comunicarse de manera efectiva con profesionales de otras áreas tecnológicas, comprendiendo y aplicando el lenguaje técnico de la programación para abordar problemas industriales.
Aplica buenas prácticas de desarrollo de software.</t>
  </si>
  <si>
    <t>Desarrolla la capacidad de estructurar métodos analíticos para abordar problemas mediante programación
Desarrolla habilidades en pensamiento lógico y algorítmico aplicado a problemas industriales.
Aprende  principios básicos de Python,  estructuras de un programa, conceptos básicos de programación, diseño, desarrollo y mejora de programas computacionales.</t>
  </si>
  <si>
    <t xml:space="preserve">RESULTADO DE APREDIZAJE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</si>
  <si>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</si>
  <si>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</si>
  <si>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</si>
  <si>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</si>
  <si>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</si>
  <si>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</si>
  <si>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</si>
  <si>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</si>
  <si>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</si>
  <si>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Nivel bajo</t>
  </si>
  <si>
    <t>RA2.2 Plantea proyectos que permitan dar soluciones a problemas desde la ingeniería de acuerdo con los requerimientos del ámbito empresarial y de su entorno.</t>
  </si>
  <si>
    <t>Aplicar los conocimientos adquiridos en los fundamentos de Python para desarrollar soluciones tecnológicas que optimicen procesos logísticos y operacionales, utilizando estructuras de control, tipos de datos y operaciones básicas, alineadas con los requerimientos del entorno industrial.</t>
  </si>
  <si>
    <t>Desarrolla soluciones tecnológicas de manera eficiente y precisa, para la optimización de procesos logísticos mediante Programación en Python</t>
  </si>
  <si>
    <t xml:space="preserve">Desarrolla soluciones tecnológicas, para la optimización de procesos logísticos mediante Programación en Python, Sin embargo, a partir del resultado,se identifica desviaciones leves de la calidad requerida y son suceptibles de mejora. </t>
  </si>
  <si>
    <t>No logra la apropiación de conceptos mínimos para el Desarrollo de soluciones tecnológicas, mediante Programación en Python.</t>
  </si>
  <si>
    <t>Método de Caso
Aprendizaje Basado en Problema.
Aprendizaje Basado en Proyecto.</t>
  </si>
  <si>
    <t>Para evaluar el conocimiento adquirido en el desarrollo del caso, problema o proyecto, se utilizará una rúbrica como herramienta principal de evaluación. Esta rúbrica considerará aspectos como:
A) Claridad y precisión en la presentación de la información.
B)Profundidad del análisis
 C) Aplicación práctica de los conocimientos previos y adquiridos en el desarrollo de la Unidad de Aprendizaje
D) La transferencia de conocimientos adquiridos a lo largo de las las fases del problema, proyecto o caso 
E)  Calidad y pertinencia de las fuentes consultadas.</t>
  </si>
  <si>
    <t>Con la rúbrica como herramienta de evaluación del desempeño se evidenciará:
A.) Responsabilidad
B.) Debate de ideas
C.) Diseño de planes y/o experimentos
D.) Recolección y análisis de datos
E.) Manejo de recursos disponibles, como el tiempo, los materiales y equipos
F.) Trabajo colaborativo
H.) Capacidad de planificación, ejecución y evaluación
I.) Autonomía
J.) Habilidades metacognitivas, como autodirección y autoevaluación
K.) Habilidades tecnológicas
L.) Integración de conceptos y conocimientos previos</t>
  </si>
  <si>
    <t>Utilizando la rúbrica como herramienta de evaluación, se evidenciará el seguimiento progresivo y el cumplimiento gradual de los objetivos planteados en el caso, problema o proyecto en los entregables. a travez de:
Productos Tangibles:
Prototipos, modelos, artefactos físicos o digitales desarrollados como resultado del proyecto.
Informes, documentos técnicos, manuales o presentaciones que documentan el proceso y los resultados del proyecto.
Presentaciones o Demostraciones:
Exposiciones públicas, presentaciones orales o demostraciones ante compañeros, profesores o evaluadores externos.
Defensa de resultados ante un panel de expertos.
Portafolios:
Recopilación de trabajos, diseños, análisis, investigaciones y reflexiones relacionadas con el proyecto.
Puede incluir evidencia de la planificación, el proceso de ejecución, los resultados obtenidos y las lecciones aprendidas.
Entregables Finales:
Documentos finales que resumen los hallazgos, conclusiones y recomendaciones del proyecto.
Productos finales que cumplen con los objetivos y criterios establecidos al inicio del proyecto.
Impacto o Aplicación Práctica:
Pruebas de concepto, implementaciones piloto o evidencia de la aplicación práctica de los resultados del proyecto en situaciones reales.</t>
  </si>
  <si>
    <t>Se establecen las siguientes fases para las actividades de aprendizaje:
Método de Caso
1. Leer y analizar el caso. Identificación y presentación de las alternativas. En esta fase intervienen claramente la imaginación creadora, para la búsqueda de alternativas.
2. Valoración comparación y evaluación de alternativas. Se hace una evaluación de las tesis y una confrontación de los diferentes puntos de vista.
3. Selección de la mejor alternativa. En esta fase no necesariamente se debe llegar a una decisión final.
Aprendizaje Basado en Problemas. 
1. Leer y analizar el escenario o situación problema.
2. Identificar los objetivos de aprendizaje.
3. Identificar el conocimiento necesario previo y, reconocer saberes que requieren mayor profundización para lograr su solución.
4. Elaborar un esquema o representación que le permita comprender el problema.
5. Elaborar un diagnóstico que le permita una aproximación a la solución del problema.
6. Elaborar un plan de trabajo para abordar el problema.
7. Recopilar información sobre el problema.
8. Analizar la información recogida
9. Plantear los posibles resultados y evaluar su capacidad para abordar el problema
10. Desarrollar procesos de retroalimentación que lo lleven a verificar la solución del problema o nuevas hipótesis 
11. Reflexionar sobre el desempeño individual y grupal durante el desarrollo de la actividad.
Aprendizaje Basado en Proyectos
Fase 0: 
Presentación, lineamientos del Proyecto e indicaciones básicas procedimentales del proyecto
Fase 1:
1.1. Planeación: Plan de trabajo del equipo
1.2. Investigación: Plantear objetivos, buscar información y realizar experimentos/laboratorios.
1.3. Consulta: contactar otros profesores y buscar soporte técnico.
1.4. Entregable Fase 1
Fase 2:
2.1. Diseño y Simulaciones
2.2. Integración - Construcción
2.3. Pruebas
2.4. Entregable Fase 2
Fase 3:
3.1. Revisión y correción de fallas o errores
3.2. Presentación 
3.3. Demostración
3.4. Entregable Final: Informe final del Proyecto</t>
  </si>
  <si>
    <t>Reconoce y utiliza las estructuras de control de flujo (condicionales, bucles) y el procesamiento de datos en Python para analizar grandes volúmenes de datos industriales, facilitando la toma de decisiones basadas en evidencia en el contexto de la gestión organizacional.</t>
  </si>
  <si>
    <t>Analiza Datos Industriales y aplica decisiones basadas en evidencia de manera eficiente y precisa, mediante Programación en Python</t>
  </si>
  <si>
    <t xml:space="preserve">Analiza Datos Industriales y aplica decisiones basadas en evidencia, mediante Programación en Python, Sin embargo, a partir del resultado,se identifican desviaciones leves de la calidad requerida y son suceptibles de mejora. </t>
  </si>
  <si>
    <t>No logra la apropiación de conceptos mínimos para el Analisis de Datos Industriales y la aplicación de  decisiones basadas en evidencia, mediante Programación en Python</t>
  </si>
  <si>
    <t>Formula proyectos industriales que incorporen soluciones basadas en Python para la automatización de procesos, gestión de recursos y análisis de datos, demostrando la capacidad de traducir los requerimientos empresariales en aplicaciones prácticas mediante la programación.</t>
  </si>
  <si>
    <t>Plantea Proyectos de Soluciones Computacionales para Problemas Industriales de manera eficiente y precisa, Integrando Python en la Gestión de Proyectos</t>
  </si>
  <si>
    <t xml:space="preserve">Plantea Proyectos de Soluciones Computacionales para Problemas Industriales, Integrando Python en la Gestión de Proyectos, Sin embargo, a partir del resultado,se identifican desviaciones leves de la calidad requerida y son suceptibles de mejora. </t>
  </si>
  <si>
    <t>No logra la apropiación de conceptos mínimos para Plantear Proyectos de Soluciones Computacionales para Problemas Industriales, Integrando Python.</t>
  </si>
  <si>
    <t xml:space="preserve">RECURSOS DE APOYO </t>
  </si>
  <si>
    <t xml:space="preserve">BIBLIOGRAFÍA  </t>
  </si>
  <si>
    <t>CONTROL DE CAMBIOS</t>
  </si>
  <si>
    <t>FECHA DE APROBACIÓN</t>
  </si>
  <si>
    <t>DESCRIPCIÓN DEL CAMBIO</t>
  </si>
  <si>
    <t>DD</t>
  </si>
  <si>
    <t>MM</t>
  </si>
  <si>
    <t>AAAA</t>
  </si>
  <si>
    <t>Revisión de la justificación; modificación de las estrategias de evaluación, de las evidencias de conocimiento, desempeño y producto y metodologías. Cambio de formato.</t>
  </si>
  <si>
    <t>CONTROL DE DOCUMENTOS</t>
  </si>
  <si>
    <t>ELABORO</t>
  </si>
  <si>
    <t>NOMBRES Y APELLIDOS</t>
  </si>
  <si>
    <t>CARGO</t>
  </si>
  <si>
    <t>FIRMA</t>
  </si>
  <si>
    <t>REVISO</t>
  </si>
  <si>
    <t>APROBÓ</t>
  </si>
  <si>
    <t xml:space="preserve">1.	https://www.netacad.com/es/courses/python-essentials-1?courseLang=es-XL&amp;instance_id=74607f67-f7b7-499e-8684-ff709ea6782f
2.	Carnero Sobrino, J. L. (2022). Programación de servicios y procesos en Python: (1 ed.). Marcombo. https://elibro.unicafam.elogim.com/es/lc/unicafam/titulos/280361 
3.	Giraldo Forero, A. F. (2022). Tratamiento matemático: una aproximación en Python y R: ( ed.). Instituto Tecnológico Metropolitano. https://elibro.unicafam.elogim.com/es/lc/unicafam/titulos/216780 }
4.	Abril Fernández, M. Y. Sánchez Hernández, Y. J. &amp; Martínez Montaña, M. (2022). Matemáticas Discretas: con un enfoque desde la ingeniería y ciencias sociales: conceptos básicos: (1 ed.). Editorial UPTC. https://elibro.unicafam.elogim.com/es/lc/unicafam/titulos/231882 
5.	Ramírez Jiménez, Ó. (2021). Python a fondo: (1 ed.). Marcombo. https://elibro.unicafam.elogim.com/es/lc/unicafam/titulos/280038 
6.	Arévalo Ovalle, D. (2021). Métodos numéricos con Python: (1 ed.). Editorial Politécnico Grancolombiano. https://elibro.unicafam.elogim.com/es/lc/unicafam/titulos/218585 
7.	López, A. &amp; Rojas, A. L. (2021). Introducción a Python para Estudiantes de Ciencias: (1 ed.). Editorial UPTC. https://elibro.unicafam.elogim.com/es/lc/unicafam/titulos/219225 Arboledas Brihuega, D. (2017). Criptografía sin secretos con Python: ( ed.). RA-MA Editorial. https://elibro.unicafam.elogim.com/es/lc/unicafam/titulos/106497 
8.	Arévalo Ovalle, D. &amp; Posada Restrepo, J. A. (2017). Matemáticas para ingeniería: métodos numéricos con Python: ( ed.). Editorial Politécnico Grancolombiano. https://elibro.unicafam.elogim.com/es/lc/unicafam/titulos/71002 
9.	Sarasa Cabezuelo, A. (2017). Gestión de la información web usando Python: ( ed.). Editorial UOC. https://elibro.unicafam.elogim.com/es/lc/unicafam/titulos/114201
10.	Marzal Varó, A. García Sevilla, P. &amp; Gracia Luengo, I. (2016). Introducción a la programación con Python 3: ( ed.). D - Universitat Jaume I. Servei de Comunicació i Publicacions. https://elibro.unicafam.elogim.com/es/lc/unicafam/titulos/51760 
11.	Cuevas Álvarez, A. (2016). Python 3: curso práctico: ( ed.). RA-MA Editorial. https://elibro.unicafam.elogim.com/es/lc/unicafam/titulos/106404 
12.	Hinojosa Gutiérrez, Á. (2015). Python paso a paso: ( ed.). RA-MA Editorial. https://elibro.unicafam.elogim.com/es/lc/unicafam/titulos/107213 
</t>
  </si>
  <si>
    <t>Aula virtual</t>
  </si>
  <si>
    <t xml:space="preserve">Microsoft 365, incluye Microsoft Office (Word, Excel, PowerPoint, Publisher, Access, Power BI, OneNote, Outlook, Project y Visio), Licencia Universitaria. </t>
  </si>
  <si>
    <t>EBSCO Information Services</t>
  </si>
  <si>
    <t>E-Collection (ISO) (iCONTEC)</t>
  </si>
  <si>
    <t>E Libro</t>
  </si>
  <si>
    <t>https://www.unicafam.edu.co/index.php/biblioteca-craiin/</t>
  </si>
  <si>
    <t>Software https://www.mathworks.com/products/matlab.html</t>
  </si>
  <si>
    <t>Software GeoGebra License; Non-commercial freeware; portions under General Public License (GPL).</t>
  </si>
  <si>
    <t>TECNOLOGÍA EN ANÁLISIS Y GESTIÓN DE DATOS</t>
  </si>
  <si>
    <t>Electiva I - Fundamentos de Python I</t>
  </si>
  <si>
    <t>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</si>
</sst>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sz val="11"/>
      <name val="Calibri"/>
      <family val="2"/>
      <scheme val="minor"/>
    </font>
    <font>
      <sz val="11"/>
      <color rgb="FF000000"/>
      <name val="Verdana"/>
      <family val="2"/>
    </font>
    <font>
      <b/>
      <sz val="11"/>
      <color rgb="FFFFFFFF"/>
      <name val="Verdana"/>
      <family val="2"/>
    </font>
    <font>
      <b/>
      <sz val="11"/>
      <color rgb="FF000000"/>
      <name val="Verdana"/>
      <family val="2"/>
    </font>
    <font>
      <b/>
      <sz val="11"/>
      <color theme="0"/>
      <name val="Verdana"/>
      <family val="2"/>
    </font>
    <font>
      <sz val="11"/>
      <color theme="1"/>
      <name val="Verdana"/>
      <family val="2"/>
    </font>
    <font>
      <sz val="10"/>
      <color rgb="FF000000"/>
      <name val="Calibri"/>
      <family val="2"/>
      <scheme val="minor"/>
    </font>
    <font>
      <b/>
      <sz val="10"/>
      <color rgb="FF000000"/>
      <name val="Calibri"/>
      <family val="2"/>
      <scheme val="minor"/>
    </font>
    <font>
      <sz val="11"/>
      <color rgb="FFFF0000"/>
      <name val="Calibri"/>
      <family val="2"/>
      <scheme val="minor"/>
    </font>
    <font>
      <sz val="12"/>
      <color rgb="FF000000"/>
      <name val="Calibri"/>
      <family val="2"/>
    </font>
    <font>
      <sz val="12"/>
      <name val="Calibri"/>
      <family val="2"/>
    </font>
  </fonts>
  <fills count="8">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8" tint="-0.499984740745262"/>
        <bgColor rgb="FF000000"/>
      </patternFill>
    </fill>
    <fill>
      <patternFill patternType="solid">
        <fgColor theme="0" tint="-0.249977111117893"/>
        <bgColor indexed="64"/>
      </patternFill>
    </fill>
    <fill>
      <patternFill patternType="solid">
        <fgColor theme="8" tint="-0.499984740745262"/>
        <bgColor indexed="64"/>
      </patternFill>
    </fill>
    <fill>
      <patternFill patternType="solid">
        <fgColor rgb="FFBDD7EE"/>
        <bgColor indexed="64"/>
      </patternFill>
    </fill>
  </fills>
  <borders count="4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medium">
        <color indexed="64"/>
      </right>
      <top/>
      <bottom/>
      <diagonal/>
    </border>
    <border>
      <left/>
      <right/>
      <top/>
      <bottom style="medium">
        <color indexed="64"/>
      </bottom>
      <diagonal/>
    </border>
    <border>
      <left style="medium">
        <color indexed="64"/>
      </left>
      <right style="thin">
        <color auto="1"/>
      </right>
      <top/>
      <bottom style="medium">
        <color indexed="64"/>
      </bottom>
      <diagonal/>
    </border>
    <border>
      <left style="medium">
        <color indexed="64"/>
      </left>
      <right/>
      <top/>
      <bottom style="thin">
        <color indexed="64"/>
      </bottom>
      <diagonal/>
    </border>
    <border>
      <left/>
      <right style="thin">
        <color auto="1"/>
      </right>
      <top/>
      <bottom style="thin">
        <color auto="1"/>
      </bottom>
      <diagonal/>
    </border>
    <border>
      <left style="medium">
        <color indexed="64"/>
      </left>
      <right/>
      <top/>
      <bottom/>
      <diagonal/>
    </border>
    <border>
      <left style="thin">
        <color auto="1"/>
      </left>
      <right/>
      <top/>
      <bottom style="thin">
        <color auto="1"/>
      </bottom>
      <diagonal/>
    </border>
    <border>
      <left/>
      <right/>
      <top/>
      <bottom style="thin">
        <color indexed="64"/>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thin">
        <color auto="1"/>
      </bottom>
      <diagonal/>
    </border>
  </borders>
  <cellStyleXfs count="3">
    <xf numFmtId="0" fontId="0" fillId="0" borderId="0"/>
    <xf numFmtId="0" fontId="1" fillId="0" borderId="0"/>
    <xf numFmtId="0" fontId="1" fillId="0" borderId="0"/>
  </cellStyleXfs>
  <cellXfs count="133">
    <xf numFmtId="0" fontId="0" fillId="0" borderId="0" xfId="0"/>
    <xf numFmtId="0" fontId="9" fillId="0" borderId="10" xfId="0" applyFont="1" applyBorder="1" applyAlignment="1">
      <alignment horizontal="center" vertical="center" wrapText="1"/>
    </xf>
    <xf numFmtId="0" fontId="10" fillId="4" borderId="10" xfId="0" applyFont="1" applyFill="1" applyBorder="1" applyAlignment="1">
      <alignment horizontal="center" vertical="center" wrapText="1"/>
    </xf>
    <xf numFmtId="0" fontId="0" fillId="5" borderId="0" xfId="0" applyFill="1"/>
    <xf numFmtId="0" fontId="6" fillId="2" borderId="11" xfId="0" applyFont="1" applyFill="1" applyBorder="1" applyAlignment="1">
      <alignment horizontal="left"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5" fillId="0" borderId="0" xfId="0" applyFont="1" applyAlignment="1">
      <alignment horizontal="center" vertical="center" wrapText="1"/>
    </xf>
    <xf numFmtId="0" fontId="0" fillId="0" borderId="24" xfId="0" applyBorder="1"/>
    <xf numFmtId="0" fontId="12" fillId="6" borderId="9" xfId="0" applyFont="1" applyFill="1" applyBorder="1" applyAlignment="1" applyProtection="1">
      <alignment horizontal="center" vertical="center" wrapText="1"/>
      <protection hidden="1"/>
    </xf>
    <xf numFmtId="0" fontId="13" fillId="0" borderId="9" xfId="0" applyFont="1" applyBorder="1" applyAlignment="1" applyProtection="1">
      <alignment horizontal="center" vertical="center" wrapText="1"/>
      <protection hidden="1"/>
    </xf>
    <xf numFmtId="0" fontId="13" fillId="5" borderId="0" xfId="0" applyFont="1" applyFill="1" applyAlignment="1">
      <alignment horizontal="center" vertical="center"/>
    </xf>
    <xf numFmtId="0" fontId="5" fillId="0" borderId="2" xfId="0" applyFont="1" applyBorder="1" applyAlignment="1">
      <alignment horizontal="center" vertical="center" wrapText="1"/>
    </xf>
    <xf numFmtId="0" fontId="12" fillId="6" borderId="8" xfId="0" applyFont="1" applyFill="1" applyBorder="1" applyAlignment="1" applyProtection="1">
      <alignment vertical="center" wrapText="1"/>
      <protection hidden="1"/>
    </xf>
    <xf numFmtId="0" fontId="12" fillId="6" borderId="9" xfId="0" applyFont="1" applyFill="1" applyBorder="1" applyAlignment="1" applyProtection="1">
      <alignment vertical="center" wrapText="1"/>
      <protection hidden="1"/>
    </xf>
    <xf numFmtId="0" fontId="12" fillId="6" borderId="10" xfId="0" applyFont="1" applyFill="1" applyBorder="1" applyAlignment="1" applyProtection="1">
      <alignment vertical="center" wrapText="1"/>
      <protection hidden="1"/>
    </xf>
    <xf numFmtId="0" fontId="6" fillId="2" borderId="26" xfId="0" applyFont="1" applyFill="1" applyBorder="1" applyAlignment="1">
      <alignment horizontal="left" vertical="center" wrapText="1"/>
    </xf>
    <xf numFmtId="0" fontId="5" fillId="0" borderId="10" xfId="0" applyFont="1" applyBorder="1" applyAlignment="1">
      <alignment horizontal="center" vertical="center" wrapText="1"/>
    </xf>
    <xf numFmtId="0" fontId="6" fillId="2" borderId="10" xfId="0" applyFont="1" applyFill="1" applyBorder="1" applyAlignment="1">
      <alignment horizontal="left" vertical="center" wrapText="1"/>
    </xf>
    <xf numFmtId="0" fontId="6" fillId="2" borderId="6" xfId="0" applyFont="1" applyFill="1" applyBorder="1" applyAlignment="1">
      <alignment horizontal="left" vertical="center" wrapText="1"/>
    </xf>
    <xf numFmtId="0" fontId="7" fillId="0" borderId="33" xfId="0" applyFont="1" applyBorder="1" applyAlignment="1">
      <alignment horizontal="center" vertical="center" wrapText="1"/>
    </xf>
    <xf numFmtId="0" fontId="17" fillId="0" borderId="10" xfId="0" applyFont="1" applyBorder="1" applyAlignment="1">
      <alignment vertical="top" wrapText="1"/>
    </xf>
    <xf numFmtId="0" fontId="17" fillId="0" borderId="9" xfId="0" applyFont="1" applyBorder="1" applyAlignment="1">
      <alignment vertical="top" wrapText="1"/>
    </xf>
    <xf numFmtId="0" fontId="17" fillId="0" borderId="37" xfId="0" applyFont="1" applyBorder="1" applyAlignment="1">
      <alignment vertical="top" wrapText="1"/>
    </xf>
    <xf numFmtId="0" fontId="17" fillId="0" borderId="28" xfId="0" applyFont="1" applyBorder="1" applyAlignment="1">
      <alignment vertical="top" wrapText="1"/>
    </xf>
    <xf numFmtId="0" fontId="18" fillId="0" borderId="37" xfId="0" applyFont="1" applyBorder="1" applyAlignment="1">
      <alignment vertical="top" wrapText="1"/>
    </xf>
    <xf numFmtId="0" fontId="18" fillId="0" borderId="28" xfId="0" applyFont="1" applyBorder="1" applyAlignment="1">
      <alignment vertical="top" wrapText="1"/>
    </xf>
    <xf numFmtId="0" fontId="7" fillId="0" borderId="15" xfId="0" applyFont="1" applyBorder="1" applyAlignment="1" applyProtection="1">
      <alignment horizontal="left" vertical="top"/>
      <protection locked="0"/>
    </xf>
    <xf numFmtId="0" fontId="5" fillId="0" borderId="32" xfId="0" applyFont="1" applyBorder="1" applyAlignment="1">
      <alignment horizontal="center" vertical="center" wrapText="1"/>
    </xf>
    <xf numFmtId="0" fontId="0" fillId="0" borderId="32" xfId="0" applyBorder="1"/>
    <xf numFmtId="0" fontId="0" fillId="0" borderId="46" xfId="0" applyBorder="1"/>
    <xf numFmtId="0" fontId="7" fillId="0" borderId="22" xfId="0" applyFont="1" applyBorder="1" applyAlignment="1" applyProtection="1">
      <alignment horizontal="left" vertical="top"/>
      <protection locked="0"/>
    </xf>
    <xf numFmtId="0" fontId="5" fillId="0" borderId="22" xfId="0" applyFont="1" applyBorder="1" applyAlignment="1">
      <alignment horizontal="left" vertical="center"/>
    </xf>
    <xf numFmtId="0" fontId="5" fillId="0" borderId="30" xfId="1" applyFont="1" applyBorder="1" applyAlignment="1">
      <alignment vertical="center"/>
    </xf>
    <xf numFmtId="0" fontId="7" fillId="0" borderId="31" xfId="1" applyFont="1" applyBorder="1" applyAlignment="1">
      <alignment vertical="center" wrapText="1"/>
    </xf>
    <xf numFmtId="0" fontId="7" fillId="0" borderId="47" xfId="1" applyFont="1" applyBorder="1" applyAlignment="1">
      <alignment vertical="center" wrapText="1"/>
    </xf>
    <xf numFmtId="0" fontId="6" fillId="7" borderId="45" xfId="0" applyFont="1" applyFill="1" applyBorder="1" applyAlignment="1">
      <alignment horizontal="center" vertical="center" wrapText="1"/>
    </xf>
    <xf numFmtId="0" fontId="6" fillId="7" borderId="29" xfId="0" applyFont="1" applyFill="1" applyBorder="1" applyAlignment="1">
      <alignment horizontal="center" vertical="center" wrapText="1"/>
    </xf>
    <xf numFmtId="0" fontId="6" fillId="7" borderId="27"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7" fillId="3" borderId="40" xfId="0" applyFont="1" applyFill="1" applyBorder="1" applyAlignment="1">
      <alignment vertical="center" wrapText="1"/>
    </xf>
    <xf numFmtId="0" fontId="7" fillId="3" borderId="37" xfId="0" applyFont="1" applyFill="1" applyBorder="1" applyAlignment="1">
      <alignment vertical="center" wrapText="1"/>
    </xf>
    <xf numFmtId="0" fontId="7" fillId="3" borderId="6" xfId="0" applyFont="1" applyFill="1" applyBorder="1" applyAlignment="1">
      <alignment vertical="center" wrapText="1"/>
    </xf>
    <xf numFmtId="0" fontId="7" fillId="3" borderId="10" xfId="0" applyFont="1" applyFill="1" applyBorder="1" applyAlignment="1">
      <alignment vertical="center" wrapText="1"/>
    </xf>
    <xf numFmtId="0" fontId="7" fillId="3" borderId="43" xfId="0" applyFont="1" applyFill="1" applyBorder="1" applyAlignment="1">
      <alignment vertical="center" wrapText="1"/>
    </xf>
    <xf numFmtId="0" fontId="7" fillId="3" borderId="44" xfId="0" applyFont="1" applyFill="1" applyBorder="1" applyAlignment="1">
      <alignment vertical="center" wrapText="1"/>
    </xf>
    <xf numFmtId="0" fontId="7" fillId="3" borderId="22" xfId="0" applyFont="1" applyFill="1" applyBorder="1" applyAlignment="1">
      <alignment vertical="top" wrapText="1"/>
    </xf>
    <xf numFmtId="0" fontId="7" fillId="3" borderId="0" xfId="0" applyFont="1" applyFill="1" applyAlignment="1">
      <alignment vertical="top" wrapText="1"/>
    </xf>
    <xf numFmtId="0" fontId="7" fillId="3" borderId="23" xfId="0" applyFont="1" applyFill="1" applyBorder="1" applyAlignment="1">
      <alignment vertical="top" wrapText="1"/>
    </xf>
    <xf numFmtId="0" fontId="7" fillId="3" borderId="22" xfId="0" applyFont="1" applyFill="1" applyBorder="1" applyAlignment="1">
      <alignment horizontal="left" vertical="top" wrapText="1"/>
    </xf>
    <xf numFmtId="0" fontId="7" fillId="3" borderId="24" xfId="0" applyFont="1" applyFill="1" applyBorder="1" applyAlignment="1">
      <alignment horizontal="left" vertical="top"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6" fillId="2" borderId="41" xfId="0" applyFont="1" applyFill="1" applyBorder="1" applyAlignment="1">
      <alignment horizontal="center" vertical="center" wrapText="1"/>
    </xf>
    <xf numFmtId="0" fontId="6" fillId="2" borderId="42" xfId="0" applyFont="1" applyFill="1" applyBorder="1" applyAlignment="1">
      <alignment horizontal="center" vertical="center" wrapText="1"/>
    </xf>
    <xf numFmtId="0" fontId="6" fillId="2" borderId="34"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6" fillId="2" borderId="36" xfId="0" applyFont="1" applyFill="1" applyBorder="1" applyAlignment="1">
      <alignment horizontal="center" vertical="center" wrapText="1"/>
    </xf>
    <xf numFmtId="0" fontId="13" fillId="3" borderId="10" xfId="0" applyFont="1" applyFill="1" applyBorder="1" applyAlignment="1" applyProtection="1">
      <alignment horizontal="center" vertical="center" wrapText="1"/>
      <protection hidden="1"/>
    </xf>
    <xf numFmtId="0" fontId="2" fillId="0" borderId="15" xfId="1" applyFont="1" applyBorder="1" applyAlignment="1">
      <alignment horizontal="left" vertical="center" wrapText="1"/>
    </xf>
    <xf numFmtId="0" fontId="1" fillId="0" borderId="16" xfId="1" applyBorder="1" applyAlignment="1">
      <alignment horizontal="left" vertical="center" wrapText="1"/>
    </xf>
    <xf numFmtId="0" fontId="1" fillId="0" borderId="22" xfId="1" applyBorder="1" applyAlignment="1">
      <alignment horizontal="left" vertical="center" wrapText="1"/>
    </xf>
    <xf numFmtId="0" fontId="1" fillId="0" borderId="23" xfId="1" applyBorder="1" applyAlignment="1">
      <alignment horizontal="left" vertical="center" wrapText="1"/>
    </xf>
    <xf numFmtId="0" fontId="1" fillId="0" borderId="17" xfId="1" applyBorder="1" applyAlignment="1">
      <alignment horizontal="left" vertical="center" wrapText="1"/>
    </xf>
    <xf numFmtId="0" fontId="1" fillId="0" borderId="18" xfId="1" applyBorder="1" applyAlignment="1">
      <alignment horizontal="left" vertical="center" wrapText="1"/>
    </xf>
    <xf numFmtId="0" fontId="0" fillId="0" borderId="15" xfId="1" applyFont="1" applyBorder="1" applyAlignment="1">
      <alignment horizontal="left" vertical="top" wrapText="1"/>
    </xf>
    <xf numFmtId="0" fontId="1" fillId="0" borderId="16" xfId="1" applyBorder="1" applyAlignment="1">
      <alignment horizontal="left" vertical="top" wrapText="1"/>
    </xf>
    <xf numFmtId="0" fontId="1" fillId="0" borderId="22" xfId="1" applyBorder="1" applyAlignment="1">
      <alignment horizontal="left" vertical="top" wrapText="1"/>
    </xf>
    <xf numFmtId="0" fontId="1" fillId="0" borderId="23" xfId="1" applyBorder="1" applyAlignment="1">
      <alignment horizontal="left" vertical="top" wrapText="1"/>
    </xf>
    <xf numFmtId="0" fontId="1" fillId="0" borderId="17" xfId="1" applyBorder="1" applyAlignment="1">
      <alignment horizontal="left" vertical="top" wrapText="1"/>
    </xf>
    <xf numFmtId="0" fontId="1" fillId="0" borderId="18" xfId="1"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30" xfId="0" applyBorder="1" applyAlignment="1">
      <alignment horizontal="left" vertical="top" wrapText="1"/>
    </xf>
    <xf numFmtId="0" fontId="0" fillId="0" borderId="28" xfId="0" applyBorder="1" applyAlignment="1">
      <alignment horizontal="left" vertical="top" wrapText="1"/>
    </xf>
    <xf numFmtId="0" fontId="12" fillId="6" borderId="10" xfId="0" applyFont="1" applyFill="1" applyBorder="1" applyAlignment="1" applyProtection="1">
      <alignment horizontal="center" vertical="center" wrapText="1"/>
      <protection hidden="1"/>
    </xf>
    <xf numFmtId="0" fontId="7" fillId="0" borderId="12"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12" fillId="6" borderId="30" xfId="0" applyFont="1" applyFill="1" applyBorder="1" applyAlignment="1" applyProtection="1">
      <alignment horizontal="center" vertical="center" wrapText="1"/>
      <protection hidden="1"/>
    </xf>
    <xf numFmtId="0" fontId="12" fillId="6" borderId="31" xfId="0" applyFont="1" applyFill="1" applyBorder="1" applyAlignment="1" applyProtection="1">
      <alignment horizontal="center" vertical="center" wrapText="1"/>
      <protection hidden="1"/>
    </xf>
    <xf numFmtId="0" fontId="13" fillId="0" borderId="10" xfId="0" applyFont="1" applyBorder="1" applyAlignment="1" applyProtection="1">
      <alignment horizontal="center" vertical="center" wrapText="1"/>
      <protection hidden="1"/>
    </xf>
    <xf numFmtId="0" fontId="0" fillId="3" borderId="10" xfId="0" applyFill="1" applyBorder="1" applyAlignment="1">
      <alignment horizontal="center"/>
    </xf>
    <xf numFmtId="0" fontId="10" fillId="4" borderId="10" xfId="0" applyFont="1" applyFill="1" applyBorder="1" applyAlignment="1">
      <alignment horizontal="center" vertical="center" wrapText="1"/>
    </xf>
    <xf numFmtId="0" fontId="13" fillId="0" borderId="7" xfId="0" applyFont="1" applyBorder="1" applyAlignment="1" applyProtection="1">
      <alignment horizontal="center" vertical="center" wrapText="1"/>
      <protection hidden="1"/>
    </xf>
    <xf numFmtId="0" fontId="13" fillId="0" borderId="8" xfId="0" applyFont="1" applyBorder="1" applyAlignment="1" applyProtection="1">
      <alignment horizontal="center" vertical="center" wrapText="1"/>
      <protection hidden="1"/>
    </xf>
    <xf numFmtId="0" fontId="13" fillId="0" borderId="9" xfId="0" applyFont="1" applyBorder="1" applyAlignment="1" applyProtection="1">
      <alignment horizontal="center" vertical="center" wrapText="1"/>
      <protection hidden="1"/>
    </xf>
    <xf numFmtId="0" fontId="12" fillId="6" borderId="20" xfId="0" applyFont="1" applyFill="1" applyBorder="1" applyAlignment="1" applyProtection="1">
      <alignment horizontal="center" vertical="center" wrapText="1"/>
      <protection hidden="1"/>
    </xf>
    <xf numFmtId="0" fontId="12" fillId="6" borderId="21" xfId="0" applyFont="1" applyFill="1" applyBorder="1" applyAlignment="1" applyProtection="1">
      <alignment horizontal="center" vertical="center" wrapText="1"/>
      <protection hidden="1"/>
    </xf>
    <xf numFmtId="0" fontId="12" fillId="6" borderId="28" xfId="0" applyFont="1" applyFill="1" applyBorder="1" applyAlignment="1" applyProtection="1">
      <alignment horizontal="center" vertical="center" wrapText="1"/>
      <protection hidden="1"/>
    </xf>
    <xf numFmtId="0" fontId="8" fillId="2" borderId="2" xfId="1" applyFont="1" applyFill="1" applyBorder="1" applyAlignment="1">
      <alignment horizontal="center" vertical="center" wrapText="1"/>
    </xf>
    <xf numFmtId="0" fontId="8" fillId="2" borderId="10" xfId="1" applyFont="1" applyFill="1" applyBorder="1" applyAlignment="1">
      <alignment horizontal="center" vertical="center" wrapText="1"/>
    </xf>
    <xf numFmtId="0" fontId="14" fillId="0" borderId="5" xfId="0" applyFont="1" applyBorder="1" applyAlignment="1">
      <alignment horizontal="center" vertical="center" wrapText="1"/>
    </xf>
    <xf numFmtId="0" fontId="14" fillId="0" borderId="3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0" xfId="0" applyFont="1" applyBorder="1" applyAlignment="1">
      <alignment horizontal="center" vertical="center" wrapText="1"/>
    </xf>
    <xf numFmtId="0" fontId="15" fillId="2" borderId="2"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7" fillId="3" borderId="14" xfId="0" applyFont="1" applyFill="1" applyBorder="1" applyAlignment="1">
      <alignment horizontal="left" vertical="center" wrapText="1"/>
    </xf>
    <xf numFmtId="0" fontId="0" fillId="0" borderId="5" xfId="1" applyFont="1" applyBorder="1" applyAlignment="1">
      <alignment horizontal="left" vertical="top" wrapText="1"/>
    </xf>
    <xf numFmtId="0" fontId="1" fillId="0" borderId="33" xfId="1" applyBorder="1" applyAlignment="1">
      <alignment horizontal="left" vertical="top"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32"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7" fillId="3" borderId="0" xfId="0" applyFont="1" applyFill="1" applyAlignment="1">
      <alignment horizontal="left" vertical="top" wrapText="1"/>
    </xf>
    <xf numFmtId="0" fontId="7" fillId="3" borderId="23" xfId="0" applyFont="1" applyFill="1" applyBorder="1" applyAlignment="1">
      <alignment horizontal="left" vertical="top" wrapText="1"/>
    </xf>
    <xf numFmtId="0" fontId="7" fillId="0" borderId="13" xfId="0" applyFont="1" applyBorder="1" applyAlignment="1">
      <alignment horizontal="left" vertical="center" wrapText="1"/>
    </xf>
    <xf numFmtId="0" fontId="9" fillId="0" borderId="10" xfId="0" applyFont="1" applyBorder="1" applyAlignment="1">
      <alignment horizontal="center" vertical="center" wrapText="1"/>
    </xf>
    <xf numFmtId="0" fontId="11" fillId="0" borderId="10"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10" xfId="0" applyFont="1" applyBorder="1" applyAlignment="1">
      <alignment horizontal="left" vertical="center" wrapText="1"/>
    </xf>
    <xf numFmtId="0" fontId="6" fillId="2" borderId="10" xfId="0" applyFont="1" applyFill="1" applyBorder="1" applyAlignment="1">
      <alignment horizontal="center" vertical="center" wrapText="1"/>
    </xf>
    <xf numFmtId="0" fontId="5" fillId="0" borderId="2" xfId="0" applyFont="1" applyBorder="1" applyAlignment="1">
      <alignment horizontal="left" vertical="center" wrapText="1"/>
    </xf>
    <xf numFmtId="0" fontId="6" fillId="2" borderId="6" xfId="0" applyFont="1" applyFill="1" applyBorder="1" applyAlignment="1">
      <alignment horizontal="center" vertical="center" wrapText="1"/>
    </xf>
    <xf numFmtId="0" fontId="0" fillId="0" borderId="10" xfId="0" applyBorder="1" applyAlignment="1">
      <alignment horizontal="center" vertical="center"/>
    </xf>
  </cellXfs>
  <cellStyles count="3">
    <cellStyle name="Normal" xfId="0" builtinId="0"/>
    <cellStyle name="Normal 2 4 3" xfId="1" xr:uid="{707F6A04-57DC-4545-97E3-88866E5B772B}"/>
    <cellStyle name="Normal 3 7" xfId="2" xr:uid="{EE0F8EDF-03C8-467C-83A9-11CA5C0BF7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externalLink" Target="externalLinks/externalLink2.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externalLink" Target="externalLinks/externalLink1.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microsoft.com/office/2022/10/relationships/richValueRel" Target="richData/richValueRel.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row r="2">
          <cell r="B2" t="str">
            <v>Diseñar la infraestructura de las redes de datos, sistemas telemáticos y radiocomunicaciones, para cubrir los requerimientos, necesidades y funcionamiento de los sistemas de comunicaciones de las organizaciones, bajo condiciones de calidad, factibilidad técnica, económica y de sustentabilidad; teniendo en cuenta las Arquitecturas, estándares, modelos, marcos generales y legales de telecomunicaciones.</v>
          </cell>
        </row>
        <row r="3">
          <cell r="B3" t="str">
            <v>Aplicar los elementos conceptuales de la generación y gestión de proyectos asociados a plataformas, sistemas y servicios de las Tecnologías de la información y las Comunicaciones; entendiendo la necesidad de estos en el avance y consolidación de las organizaciones con criterios de optimización y generación de valor.</v>
          </cell>
        </row>
        <row r="4">
          <cell r="B4" t="str">
            <v xml:space="preserve">Analizar el funcionamiento de circuitos eléctricos y electrónicos de los sistemas de telecomunicaciones, y su configuración a través del desarrollo de programas informáticos para telecomunicaciones; teniendo en cuenta las metodologías de desarrollo de software, los estándares y normas técnicas, buscando la optimización de los recursos disponibles. </v>
          </cell>
        </row>
        <row r="5">
          <cell r="B5" t="str">
            <v xml:space="preserve"> </v>
          </cell>
        </row>
        <row r="6">
          <cell r="B6" t="str">
            <v>Comp5</v>
          </cell>
        </row>
        <row r="7">
          <cell r="B7" t="str">
            <v>Comp6</v>
          </cell>
        </row>
        <row r="8">
          <cell r="B8" t="str">
            <v>Comp7</v>
          </cell>
        </row>
        <row r="9">
          <cell r="B9" t="str">
            <v>Comp8</v>
          </cell>
        </row>
        <row r="10">
          <cell r="B10" t="str">
            <v>Comp9</v>
          </cell>
        </row>
        <row r="11">
          <cell r="B11" t="str">
            <v>Comp10</v>
          </cell>
        </row>
      </sheetData>
      <sheetData sheetId="1">
        <row r="2">
          <cell r="B2" t="str">
            <v>Desarrolla el diseño y la configuración de las redes de datos y sistemas telemáticos, teniendo en cuenta la arquitectura de red, estándares, modelos, marcos generales y necesidades de la organización.</v>
          </cell>
        </row>
        <row r="3">
          <cell r="B3" t="str">
            <v>Desarrolla el diseño y la configuración de los sistemas de radiocomunicaciones teniendo en cuenta la tecnología, estándares, modelos, normas y el marco regulatorio y legal de las telecomunicaciones.</v>
          </cell>
        </row>
        <row r="4">
          <cell r="B4" t="str">
            <v>Propone proyectos de Tecnologías de Información y de Comunicaciones (TIC), estructurando y armonizando elementos de calidad, eficiencia, economía y sustentabilidad.</v>
          </cell>
        </row>
        <row r="5">
          <cell r="B5" t="str">
            <v>Analiza el funcionamiento de circuitos eléctricos y electrónicos de los sistemas de radiocomunicaciones y redes de datos, y su configuración a través del desarrollo de programas informáticos para telecomunicaciones.</v>
          </cell>
        </row>
        <row r="6">
          <cell r="B6" t="str">
            <v xml:space="preserve"> </v>
          </cell>
        </row>
        <row r="7">
          <cell r="B7" t="str">
            <v>ResAp06</v>
          </cell>
        </row>
        <row r="8">
          <cell r="B8" t="str">
            <v>ResAp07</v>
          </cell>
        </row>
        <row r="9">
          <cell r="B9" t="str">
            <v>ResAp08</v>
          </cell>
        </row>
        <row r="10">
          <cell r="B10" t="str">
            <v>ResAp09</v>
          </cell>
        </row>
        <row r="11">
          <cell r="B11" t="str">
            <v>ResAp10</v>
          </cell>
        </row>
      </sheetData>
      <sheetData sheetId="2">
        <row r="2">
          <cell r="B2" t="str">
            <v>Fundamentos de Redes de Datos</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row r="2">
          <cell r="B2"/>
        </row>
        <row r="3">
          <cell r="B3" t="str">
            <v>Acceso a Internet</v>
          </cell>
        </row>
        <row r="4">
          <cell r="B4" t="str">
            <v>Aula tradicional / (Tablero acrílico / Proyector / Otros)</v>
          </cell>
        </row>
        <row r="5">
          <cell r="B5" t="str">
            <v>Aula virtual / Acceso (MOODLE / CHAT / EMAIL / INTERNET / Otros)</v>
          </cell>
        </row>
        <row r="6">
          <cell r="B6" t="str">
            <v>Computador (escritorio / portátil)</v>
          </cell>
        </row>
        <row r="7">
          <cell r="B7" t="str">
            <v>Computador / Software automatización del diseño electrónico - EDA (Opciones: PROTEUS / MULTISIM / Otros)</v>
          </cell>
        </row>
        <row r="8">
          <cell r="B8" t="str">
            <v>Computador / Software compilador de código C# (Opciones: ECLIPSE / Otros)</v>
          </cell>
        </row>
        <row r="9">
          <cell r="B9" t="str">
            <v>Computador / Software creación y gestión mapas conceptuales (Opciones: CMAP / Otros)</v>
          </cell>
        </row>
        <row r="10">
          <cell r="B10" t="str">
            <v>Computador / Software Diagramas de Flujo de Datos (Opciones: DFD / VISIO / Otros)</v>
          </cell>
        </row>
        <row r="11">
          <cell r="B11" t="str">
            <v>Computador / Software editor de código (Opciones: NOTEPAD++ / VISUAL STUDIO / Otros)</v>
          </cell>
        </row>
        <row r="12">
          <cell r="B12" t="str">
            <v>Computador / Software hoja de cálculo (EXCEL / OPEN OFFICE / Otros)</v>
          </cell>
        </row>
        <row r="13">
          <cell r="B13" t="str">
            <v>Computador / Software para Diseño Asistido por Computador - CAD (Opciones: AUTOCAD / RHINOCEROS / SOLID WORKS / Otros)</v>
          </cell>
        </row>
        <row r="14">
          <cell r="B14" t="str">
            <v>Computador / Software procesador de texto (Opciones: WORD / LATEX / Otros)</v>
          </cell>
        </row>
        <row r="15">
          <cell r="B15" t="str">
            <v>Computador / Software procesamiento datos estadísticos (Opciones: MINITAB / R / Otros)</v>
          </cell>
        </row>
        <row r="16">
          <cell r="B16" t="str">
            <v>Computador / Software programación gráfica (Opciones: LABVIEW / SIMULINK / Otros)</v>
          </cell>
        </row>
        <row r="17">
          <cell r="B17" t="str">
            <v>Computador / Software simulación dispositivos electrónicos (Opciones: THINKERCAD / Otros)</v>
          </cell>
        </row>
        <row r="18">
          <cell r="B18" t="str">
            <v>Computador / Software simulación electromagnética (Opciones: MEEP-FDTD / FEKO / Otros)</v>
          </cell>
        </row>
        <row r="19">
          <cell r="B19" t="str">
            <v>Computador / Software simulación matemática (Opciones: MATLAB / SCILAB / OCTAVE / DERIVE / MATHCAD / Otros)</v>
          </cell>
        </row>
        <row r="20">
          <cell r="B20" t="str">
            <v>Computador / Software simulación procesos industriales (Opciones: FLEXIM / Otros)</v>
          </cell>
        </row>
        <row r="21">
          <cell r="B21" t="str">
            <v>Computador / Software simulador gráfico de red (Opciones: PACKET TRACER / GNS3 / Otros)</v>
          </cell>
        </row>
        <row r="22">
          <cell r="B22" t="str">
            <v>Laboratorio / Equipos de medición eléctrica (MULTÌMETRO / OSCILOSCOPIO / ANALIZAR ESPECTRO / Otros)</v>
          </cell>
        </row>
        <row r="23">
          <cell r="B23" t="str">
            <v>Laboratorio / Equipos de redes de telecomunicaciones</v>
          </cell>
        </row>
        <row r="24">
          <cell r="B24" t="str">
            <v>Laboratorio / Equipos fuente de energía (Generador sencillo / Generador dual / Generador de funciones)</v>
          </cell>
        </row>
        <row r="25">
          <cell r="B25" t="str">
            <v>Laboratorio / Herramienta para electricidad y electrónica (Alicate, Pinza, Destornillador, Cautín)</v>
          </cell>
        </row>
        <row r="26">
          <cell r="B26" t="str">
            <v>Laboratorio dispositivos de redes (SWITCH / ROUTER / TRANSCEIVER / MODEM / HUB</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2">
          <cell r="B72">
            <v>0</v>
          </cell>
        </row>
        <row r="73">
          <cell r="B73">
            <v>0</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row r="94">
          <cell r="B94">
            <v>0</v>
          </cell>
        </row>
        <row r="95">
          <cell r="B95">
            <v>0</v>
          </cell>
        </row>
        <row r="96">
          <cell r="B96">
            <v>0</v>
          </cell>
        </row>
        <row r="97">
          <cell r="B97">
            <v>0</v>
          </cell>
        </row>
        <row r="98">
          <cell r="B98">
            <v>0</v>
          </cell>
        </row>
        <row r="99">
          <cell r="B99">
            <v>0</v>
          </cell>
        </row>
        <row r="100">
          <cell r="B100">
            <v>0</v>
          </cell>
        </row>
        <row r="101">
          <cell r="B101">
            <v>0</v>
          </cell>
        </row>
        <row r="102">
          <cell r="B102">
            <v>0</v>
          </cell>
        </row>
      </sheetData>
      <sheetData sheetId="3"/>
      <sheetData sheetId="4">
        <row r="2">
          <cell r="B2" t="str">
            <v>Fundamentos de Redes de Datos</v>
          </cell>
        </row>
      </sheetData>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34E90-01B2-4583-BAEE-4C6E586E6075}">
  <sheetPr>
    <tabColor theme="8"/>
  </sheetPr>
  <dimension ref="B2:O47"/>
  <sheetViews>
    <sheetView showGridLines="0" tabSelected="1" topLeftCell="A22" zoomScaleNormal="100" zoomScaleSheetLayoutView="85" workbookViewId="0">
      <selection activeCell="C12" sqref="C12:O12"/>
    </sheetView>
  </sheetViews>
  <sheetFormatPr baseColWidth="10" defaultColWidth="10.85546875" defaultRowHeight="15" x14ac:dyDescent="0.25"/>
  <cols>
    <col min="1" max="1" width="5.7109375" style="3" customWidth="1"/>
    <col min="2" max="6" width="24.7109375" style="3" customWidth="1"/>
    <col min="7" max="14" width="12.7109375" style="3" customWidth="1"/>
    <col min="15" max="15" width="24.7109375" style="3" customWidth="1"/>
    <col min="16" max="16" width="5.85546875" style="3" customWidth="1"/>
    <col min="17" max="17" width="10.85546875" style="3"/>
    <col min="18" max="18" width="14" style="3" customWidth="1"/>
    <col min="19" max="16384" width="10.85546875" style="3"/>
  </cols>
  <sheetData>
    <row r="2" spans="2:15" ht="25.5" customHeight="1" x14ac:dyDescent="0.25">
      <c r="B2" s="124" t="e" vm="1">
        <v>#VALUE!</v>
      </c>
      <c r="C2" s="88" t="s">
        <v>0</v>
      </c>
      <c r="D2" s="88"/>
      <c r="E2" s="88"/>
      <c r="F2" s="88"/>
      <c r="G2" s="88"/>
      <c r="H2" s="88"/>
      <c r="I2" s="88"/>
      <c r="J2" s="88"/>
      <c r="K2" s="88"/>
      <c r="L2" s="88"/>
      <c r="M2" s="88"/>
      <c r="N2" s="88"/>
      <c r="O2" s="88"/>
    </row>
    <row r="3" spans="2:15" ht="24" customHeight="1" x14ac:dyDescent="0.25">
      <c r="B3" s="124"/>
      <c r="C3" s="125" t="s">
        <v>1</v>
      </c>
      <c r="D3" s="125"/>
      <c r="E3" s="125"/>
      <c r="F3" s="125"/>
      <c r="G3" s="125"/>
      <c r="H3" s="125"/>
      <c r="I3" s="125"/>
      <c r="J3" s="125"/>
      <c r="K3" s="125"/>
      <c r="L3" s="125"/>
      <c r="M3" s="125"/>
      <c r="N3" s="125"/>
      <c r="O3" s="125"/>
    </row>
    <row r="4" spans="2:15" ht="24" customHeight="1" x14ac:dyDescent="0.25">
      <c r="B4" s="124"/>
      <c r="C4" s="125"/>
      <c r="D4" s="125"/>
      <c r="E4" s="125"/>
      <c r="F4" s="125"/>
      <c r="G4" s="125"/>
      <c r="H4" s="125"/>
      <c r="I4" s="125"/>
      <c r="J4" s="125"/>
      <c r="K4" s="125"/>
      <c r="L4" s="125"/>
      <c r="M4" s="125"/>
      <c r="N4" s="125"/>
      <c r="O4" s="125"/>
    </row>
    <row r="5" spans="2:15" ht="20.100000000000001" customHeight="1" x14ac:dyDescent="0.25">
      <c r="B5" s="2" t="s">
        <v>2</v>
      </c>
      <c r="C5" s="1" t="s">
        <v>3</v>
      </c>
      <c r="D5" s="88" t="s">
        <v>4</v>
      </c>
      <c r="E5" s="88"/>
      <c r="F5" s="88"/>
      <c r="G5" s="1">
        <v>1</v>
      </c>
      <c r="H5" s="88" t="s">
        <v>5</v>
      </c>
      <c r="I5" s="88"/>
      <c r="J5" s="88"/>
      <c r="K5" s="87"/>
      <c r="L5" s="87"/>
      <c r="M5" s="88" t="s">
        <v>6</v>
      </c>
      <c r="N5" s="88"/>
      <c r="O5" s="1" t="s">
        <v>7</v>
      </c>
    </row>
    <row r="6" spans="2:15" ht="20.100000000000001" customHeight="1" x14ac:dyDescent="0.25">
      <c r="B6" s="126"/>
      <c r="C6" s="126"/>
      <c r="D6" s="126"/>
      <c r="E6" s="126"/>
      <c r="F6" s="126"/>
      <c r="G6" s="126"/>
      <c r="H6" s="126"/>
      <c r="I6" s="126"/>
      <c r="J6" s="126"/>
      <c r="K6" s="126"/>
      <c r="L6" s="126"/>
      <c r="M6" s="126"/>
      <c r="N6" s="126"/>
      <c r="O6" s="126"/>
    </row>
    <row r="7" spans="2:15" ht="20.100000000000001" customHeight="1" thickBot="1" x14ac:dyDescent="0.3">
      <c r="B7" s="127" t="s">
        <v>8</v>
      </c>
      <c r="C7" s="127"/>
      <c r="D7" s="127"/>
      <c r="E7" s="127"/>
      <c r="F7" s="127"/>
      <c r="G7" s="127"/>
      <c r="H7" s="127"/>
      <c r="I7" s="127"/>
      <c r="J7" s="127"/>
      <c r="K7" s="127"/>
      <c r="L7" s="127"/>
      <c r="M7" s="127"/>
      <c r="N7" s="127"/>
      <c r="O7" s="127"/>
    </row>
    <row r="8" spans="2:15" ht="18" customHeight="1" x14ac:dyDescent="0.25">
      <c r="B8" s="106" t="s">
        <v>9</v>
      </c>
      <c r="C8" s="130" t="s">
        <v>89</v>
      </c>
      <c r="D8" s="130"/>
      <c r="E8" s="130"/>
      <c r="F8" s="130"/>
      <c r="G8" s="108" t="s">
        <v>10</v>
      </c>
      <c r="H8" s="99">
        <v>2</v>
      </c>
      <c r="I8" s="108" t="s">
        <v>11</v>
      </c>
      <c r="J8" s="12" t="s">
        <v>12</v>
      </c>
      <c r="K8" s="12" t="s">
        <v>13</v>
      </c>
      <c r="L8" s="95" t="s">
        <v>14</v>
      </c>
      <c r="M8" s="12" t="s">
        <v>13</v>
      </c>
      <c r="N8" s="101" t="s">
        <v>15</v>
      </c>
      <c r="O8" s="97" t="s">
        <v>16</v>
      </c>
    </row>
    <row r="9" spans="2:15" ht="18" customHeight="1" x14ac:dyDescent="0.25">
      <c r="B9" s="131"/>
      <c r="C9" s="128"/>
      <c r="D9" s="128"/>
      <c r="E9" s="128"/>
      <c r="F9" s="128"/>
      <c r="G9" s="129"/>
      <c r="H9" s="100"/>
      <c r="I9" s="129"/>
      <c r="J9" s="17">
        <f>H8*8</f>
        <v>16</v>
      </c>
      <c r="K9" s="17">
        <f>H8*8</f>
        <v>16</v>
      </c>
      <c r="L9" s="96"/>
      <c r="M9" s="17">
        <f>H8*16*2</f>
        <v>64</v>
      </c>
      <c r="N9" s="102"/>
      <c r="O9" s="98"/>
    </row>
    <row r="10" spans="2:15" ht="18" customHeight="1" x14ac:dyDescent="0.25">
      <c r="B10" s="19" t="s">
        <v>17</v>
      </c>
      <c r="C10" s="128" t="s">
        <v>88</v>
      </c>
      <c r="D10" s="128"/>
      <c r="E10" s="128"/>
      <c r="F10" s="128"/>
      <c r="G10" s="128"/>
      <c r="H10" s="128"/>
      <c r="I10" s="128"/>
      <c r="J10" s="18" t="s">
        <v>18</v>
      </c>
      <c r="K10" s="132" t="s">
        <v>90</v>
      </c>
      <c r="L10" s="132"/>
      <c r="M10" s="132"/>
      <c r="N10" s="18" t="s">
        <v>19</v>
      </c>
      <c r="O10" s="20">
        <v>14029130201</v>
      </c>
    </row>
    <row r="11" spans="2:15" ht="18" customHeight="1" thickBot="1" x14ac:dyDescent="0.3">
      <c r="B11" s="4" t="s">
        <v>20</v>
      </c>
      <c r="C11" s="81" t="s">
        <v>21</v>
      </c>
      <c r="D11" s="81"/>
      <c r="E11" s="81"/>
      <c r="F11" s="81"/>
      <c r="G11" s="81"/>
      <c r="H11" s="81"/>
      <c r="I11" s="81"/>
      <c r="J11" s="81"/>
      <c r="K11" s="81"/>
      <c r="L11" s="81"/>
      <c r="M11" s="81"/>
      <c r="N11" s="81"/>
      <c r="O11" s="123"/>
    </row>
    <row r="12" spans="2:15" ht="180" customHeight="1" thickBot="1" x14ac:dyDescent="0.3">
      <c r="B12" s="16" t="s">
        <v>22</v>
      </c>
      <c r="C12" s="54" t="s">
        <v>23</v>
      </c>
      <c r="D12" s="54"/>
      <c r="E12" s="54"/>
      <c r="F12" s="54"/>
      <c r="G12" s="54"/>
      <c r="H12" s="54"/>
      <c r="I12" s="54"/>
      <c r="J12" s="54"/>
      <c r="K12" s="54"/>
      <c r="L12" s="54"/>
      <c r="M12" s="54"/>
      <c r="N12" s="54"/>
      <c r="O12" s="55"/>
    </row>
    <row r="13" spans="2:15" ht="30" customHeight="1" thickBot="1" x14ac:dyDescent="0.3">
      <c r="B13" s="56" t="s">
        <v>24</v>
      </c>
      <c r="C13" s="57"/>
      <c r="D13" s="58" t="s">
        <v>25</v>
      </c>
      <c r="E13" s="59"/>
      <c r="F13" s="59"/>
      <c r="G13" s="57"/>
      <c r="H13" s="58" t="s">
        <v>26</v>
      </c>
      <c r="I13" s="59"/>
      <c r="J13" s="59"/>
      <c r="K13" s="59" t="s">
        <v>27</v>
      </c>
      <c r="L13" s="59"/>
      <c r="M13" s="57"/>
      <c r="N13" s="58" t="s">
        <v>28</v>
      </c>
      <c r="O13" s="60"/>
    </row>
    <row r="14" spans="2:15" ht="63.75" customHeight="1" x14ac:dyDescent="0.25">
      <c r="B14" s="43" t="s">
        <v>29</v>
      </c>
      <c r="C14" s="44"/>
      <c r="D14" s="49" t="s">
        <v>30</v>
      </c>
      <c r="E14" s="50"/>
      <c r="F14" s="50"/>
      <c r="G14" s="51"/>
      <c r="H14" s="52" t="s">
        <v>31</v>
      </c>
      <c r="I14" s="121"/>
      <c r="J14" s="122"/>
      <c r="K14" s="121" t="s">
        <v>32</v>
      </c>
      <c r="L14" s="121"/>
      <c r="M14" s="122"/>
      <c r="N14" s="52" t="s">
        <v>33</v>
      </c>
      <c r="O14" s="53"/>
    </row>
    <row r="15" spans="2:15" ht="63.75" customHeight="1" x14ac:dyDescent="0.25">
      <c r="B15" s="45"/>
      <c r="C15" s="46"/>
      <c r="D15" s="49"/>
      <c r="E15" s="50"/>
      <c r="F15" s="50"/>
      <c r="G15" s="51"/>
      <c r="H15" s="52"/>
      <c r="I15" s="121"/>
      <c r="J15" s="122"/>
      <c r="K15" s="121"/>
      <c r="L15" s="121"/>
      <c r="M15" s="122"/>
      <c r="N15" s="52"/>
      <c r="O15" s="53"/>
    </row>
    <row r="16" spans="2:15" ht="63.75" customHeight="1" x14ac:dyDescent="0.25">
      <c r="B16" s="45"/>
      <c r="C16" s="46"/>
      <c r="D16" s="49"/>
      <c r="E16" s="50"/>
      <c r="F16" s="50"/>
      <c r="G16" s="51"/>
      <c r="H16" s="52"/>
      <c r="I16" s="121"/>
      <c r="J16" s="122"/>
      <c r="K16" s="121"/>
      <c r="L16" s="121"/>
      <c r="M16" s="122"/>
      <c r="N16" s="52"/>
      <c r="O16" s="53"/>
    </row>
    <row r="17" spans="2:15" ht="63.75" customHeight="1" thickBot="1" x14ac:dyDescent="0.3">
      <c r="B17" s="47"/>
      <c r="C17" s="48"/>
      <c r="D17" s="49"/>
      <c r="E17" s="50"/>
      <c r="F17" s="50"/>
      <c r="G17" s="51"/>
      <c r="H17" s="52"/>
      <c r="I17" s="121"/>
      <c r="J17" s="122"/>
      <c r="K17" s="121"/>
      <c r="L17" s="121"/>
      <c r="M17" s="122"/>
      <c r="N17" s="52"/>
      <c r="O17" s="53"/>
    </row>
    <row r="18" spans="2:15" ht="30" customHeight="1" x14ac:dyDescent="0.25">
      <c r="B18" s="106" t="s">
        <v>34</v>
      </c>
      <c r="C18" s="108" t="s">
        <v>35</v>
      </c>
      <c r="D18" s="116" t="s">
        <v>36</v>
      </c>
      <c r="E18" s="117"/>
      <c r="F18" s="118"/>
      <c r="G18" s="112" t="s">
        <v>37</v>
      </c>
      <c r="H18" s="113"/>
      <c r="I18" s="39" t="s">
        <v>38</v>
      </c>
      <c r="J18" s="40"/>
      <c r="K18" s="39" t="s">
        <v>39</v>
      </c>
      <c r="L18" s="110"/>
      <c r="M18" s="39" t="s">
        <v>40</v>
      </c>
      <c r="N18" s="40"/>
      <c r="O18" s="119" t="s">
        <v>41</v>
      </c>
    </row>
    <row r="19" spans="2:15" ht="15" customHeight="1" thickBot="1" x14ac:dyDescent="0.3">
      <c r="B19" s="107"/>
      <c r="C19" s="109"/>
      <c r="D19" s="6" t="s">
        <v>42</v>
      </c>
      <c r="E19" s="6" t="s">
        <v>43</v>
      </c>
      <c r="F19" s="6" t="s">
        <v>44</v>
      </c>
      <c r="G19" s="114"/>
      <c r="H19" s="115"/>
      <c r="I19" s="41"/>
      <c r="J19" s="42"/>
      <c r="K19" s="41"/>
      <c r="L19" s="111"/>
      <c r="M19" s="41"/>
      <c r="N19" s="42"/>
      <c r="O19" s="120"/>
    </row>
    <row r="20" spans="2:15" ht="228.75" customHeight="1" x14ac:dyDescent="0.25">
      <c r="B20" s="103" t="s">
        <v>45</v>
      </c>
      <c r="C20" s="21" t="s">
        <v>46</v>
      </c>
      <c r="D20" s="22" t="s">
        <v>47</v>
      </c>
      <c r="E20" s="22" t="s">
        <v>48</v>
      </c>
      <c r="F20" s="22" t="s">
        <v>49</v>
      </c>
      <c r="G20" s="62" t="s">
        <v>50</v>
      </c>
      <c r="H20" s="63"/>
      <c r="I20" s="68" t="s">
        <v>51</v>
      </c>
      <c r="J20" s="69"/>
      <c r="K20" s="74" t="s">
        <v>52</v>
      </c>
      <c r="L20" s="75"/>
      <c r="M20" s="68" t="s">
        <v>53</v>
      </c>
      <c r="N20" s="69"/>
      <c r="O20" s="104" t="s">
        <v>54</v>
      </c>
    </row>
    <row r="21" spans="2:15" ht="177.75" customHeight="1" x14ac:dyDescent="0.25">
      <c r="B21" s="103"/>
      <c r="C21" s="23" t="s">
        <v>55</v>
      </c>
      <c r="D21" s="24" t="s">
        <v>56</v>
      </c>
      <c r="E21" s="24" t="s">
        <v>57</v>
      </c>
      <c r="F21" s="24" t="s">
        <v>58</v>
      </c>
      <c r="G21" s="64"/>
      <c r="H21" s="65"/>
      <c r="I21" s="70"/>
      <c r="J21" s="71"/>
      <c r="K21" s="76"/>
      <c r="L21" s="77"/>
      <c r="M21" s="70"/>
      <c r="N21" s="71"/>
      <c r="O21" s="105"/>
    </row>
    <row r="22" spans="2:15" ht="179.25" customHeight="1" thickBot="1" x14ac:dyDescent="0.3">
      <c r="B22" s="103"/>
      <c r="C22" s="25" t="s">
        <v>59</v>
      </c>
      <c r="D22" s="26" t="s">
        <v>60</v>
      </c>
      <c r="E22" s="26" t="s">
        <v>61</v>
      </c>
      <c r="F22" s="26" t="s">
        <v>62</v>
      </c>
      <c r="G22" s="66"/>
      <c r="H22" s="67"/>
      <c r="I22" s="72"/>
      <c r="J22" s="73"/>
      <c r="K22" s="78"/>
      <c r="L22" s="79"/>
      <c r="M22" s="72"/>
      <c r="N22" s="73"/>
      <c r="O22" s="105"/>
    </row>
    <row r="23" spans="2:15" x14ac:dyDescent="0.25">
      <c r="B23" s="36" t="s">
        <v>63</v>
      </c>
      <c r="C23" s="27" t="s">
        <v>80</v>
      </c>
      <c r="D23" s="28"/>
      <c r="E23" s="28"/>
      <c r="F23" s="28"/>
      <c r="G23" s="28"/>
      <c r="H23" s="28"/>
      <c r="I23" s="28"/>
      <c r="J23" s="29"/>
      <c r="K23" s="29"/>
      <c r="L23" s="29"/>
      <c r="M23" s="29"/>
      <c r="N23" s="29"/>
      <c r="O23" s="30"/>
    </row>
    <row r="24" spans="2:15" x14ac:dyDescent="0.25">
      <c r="B24" s="37"/>
      <c r="C24" s="31" t="s">
        <v>81</v>
      </c>
      <c r="D24" s="7"/>
      <c r="E24" s="7"/>
      <c r="F24" s="7"/>
      <c r="G24" s="7"/>
      <c r="H24" s="7"/>
      <c r="I24" s="7"/>
      <c r="J24"/>
      <c r="K24"/>
      <c r="L24"/>
      <c r="M24"/>
      <c r="N24"/>
      <c r="O24" s="8"/>
    </row>
    <row r="25" spans="2:15" x14ac:dyDescent="0.25">
      <c r="B25" s="37"/>
      <c r="C25" s="31" t="s">
        <v>82</v>
      </c>
      <c r="D25" s="7"/>
      <c r="E25" s="7"/>
      <c r="F25" s="7"/>
      <c r="G25" s="7"/>
      <c r="H25" s="7"/>
      <c r="I25" s="7"/>
      <c r="J25"/>
      <c r="K25"/>
      <c r="L25"/>
      <c r="M25"/>
      <c r="N25"/>
      <c r="O25" s="8"/>
    </row>
    <row r="26" spans="2:15" x14ac:dyDescent="0.25">
      <c r="B26" s="37"/>
      <c r="C26" s="31" t="s">
        <v>83</v>
      </c>
      <c r="D26" s="7"/>
      <c r="E26" s="7"/>
      <c r="F26" s="7"/>
      <c r="G26" s="7"/>
      <c r="H26" s="7"/>
      <c r="I26" s="7"/>
      <c r="J26"/>
      <c r="K26"/>
      <c r="L26"/>
      <c r="M26"/>
      <c r="N26"/>
      <c r="O26" s="8"/>
    </row>
    <row r="27" spans="2:15" x14ac:dyDescent="0.25">
      <c r="B27" s="37"/>
      <c r="C27" s="31" t="s">
        <v>84</v>
      </c>
      <c r="D27" s="7"/>
      <c r="E27" s="7"/>
      <c r="F27" s="7"/>
      <c r="G27" s="7"/>
      <c r="H27" s="7"/>
      <c r="I27" s="7"/>
      <c r="J27"/>
      <c r="K27"/>
      <c r="L27"/>
      <c r="M27"/>
      <c r="N27"/>
      <c r="O27" s="8"/>
    </row>
    <row r="28" spans="2:15" x14ac:dyDescent="0.25">
      <c r="B28" s="37"/>
      <c r="C28" s="31" t="s">
        <v>85</v>
      </c>
      <c r="D28" s="7"/>
      <c r="E28" s="7"/>
      <c r="F28" s="7"/>
      <c r="G28" s="7"/>
      <c r="H28" s="7"/>
      <c r="I28" s="7"/>
      <c r="J28"/>
      <c r="K28"/>
      <c r="L28"/>
      <c r="M28"/>
      <c r="N28"/>
      <c r="O28" s="8"/>
    </row>
    <row r="29" spans="2:15" x14ac:dyDescent="0.25">
      <c r="B29" s="37"/>
      <c r="C29" s="32" t="s">
        <v>86</v>
      </c>
      <c r="D29" s="7"/>
      <c r="E29" s="7"/>
      <c r="F29" s="7"/>
      <c r="G29" s="7"/>
      <c r="H29" s="7"/>
      <c r="I29" s="7"/>
      <c r="J29"/>
      <c r="K29"/>
      <c r="L29"/>
      <c r="M29"/>
      <c r="N29"/>
      <c r="O29" s="8"/>
    </row>
    <row r="30" spans="2:15" x14ac:dyDescent="0.25">
      <c r="B30" s="38"/>
      <c r="C30" s="33" t="s">
        <v>87</v>
      </c>
      <c r="D30" s="34"/>
      <c r="E30" s="34"/>
      <c r="F30" s="34"/>
      <c r="G30" s="34"/>
      <c r="H30" s="34"/>
      <c r="I30" s="34"/>
      <c r="J30" s="34"/>
      <c r="K30" s="34"/>
      <c r="L30" s="34"/>
      <c r="M30" s="34"/>
      <c r="N30" s="34"/>
      <c r="O30" s="35"/>
    </row>
    <row r="31" spans="2:15" ht="216.75" customHeight="1" thickBot="1" x14ac:dyDescent="0.3">
      <c r="B31" s="5" t="s">
        <v>64</v>
      </c>
      <c r="C31" s="81" t="s">
        <v>79</v>
      </c>
      <c r="D31" s="82"/>
      <c r="E31" s="82"/>
      <c r="F31" s="82"/>
      <c r="G31" s="82"/>
      <c r="H31" s="82"/>
      <c r="I31" s="82"/>
      <c r="J31" s="82"/>
      <c r="K31" s="82"/>
      <c r="L31" s="82"/>
      <c r="M31" s="82"/>
      <c r="N31" s="82"/>
      <c r="O31" s="83"/>
    </row>
    <row r="33" spans="2:15" ht="24.75" customHeight="1" x14ac:dyDescent="0.25">
      <c r="B33" s="84" t="s">
        <v>65</v>
      </c>
      <c r="C33" s="85"/>
      <c r="D33" s="85"/>
      <c r="E33" s="85"/>
      <c r="F33" s="85"/>
      <c r="G33" s="85"/>
      <c r="H33" s="85"/>
      <c r="I33" s="85"/>
      <c r="J33" s="85"/>
      <c r="K33" s="85"/>
      <c r="L33" s="85"/>
      <c r="M33" s="85"/>
      <c r="N33" s="85"/>
      <c r="O33" s="85"/>
    </row>
    <row r="34" spans="2:15" ht="24.75" customHeight="1" x14ac:dyDescent="0.25">
      <c r="B34" s="80" t="s">
        <v>4</v>
      </c>
      <c r="C34" s="80"/>
      <c r="D34" s="80" t="s">
        <v>66</v>
      </c>
      <c r="E34" s="80"/>
      <c r="F34" s="80"/>
      <c r="G34" s="80"/>
      <c r="H34" s="92" t="s">
        <v>67</v>
      </c>
      <c r="I34" s="92"/>
      <c r="J34" s="92"/>
      <c r="K34" s="92"/>
      <c r="L34" s="92"/>
      <c r="M34" s="92"/>
      <c r="N34" s="92"/>
      <c r="O34" s="93"/>
    </row>
    <row r="35" spans="2:15" ht="24.75" customHeight="1" x14ac:dyDescent="0.25">
      <c r="B35" s="80"/>
      <c r="C35" s="80"/>
      <c r="D35" s="9" t="s">
        <v>68</v>
      </c>
      <c r="E35" s="15" t="s">
        <v>69</v>
      </c>
      <c r="F35" s="13" t="s">
        <v>70</v>
      </c>
      <c r="G35" s="14"/>
      <c r="H35" s="85"/>
      <c r="I35" s="85"/>
      <c r="J35" s="85"/>
      <c r="K35" s="85"/>
      <c r="L35" s="85"/>
      <c r="M35" s="85"/>
      <c r="N35" s="85"/>
      <c r="O35" s="94"/>
    </row>
    <row r="36" spans="2:15" ht="36" customHeight="1" x14ac:dyDescent="0.25">
      <c r="B36" s="86">
        <v>2</v>
      </c>
      <c r="C36" s="86"/>
      <c r="D36" s="10"/>
      <c r="E36" s="10"/>
      <c r="F36" s="87"/>
      <c r="G36" s="87"/>
      <c r="H36" s="89" t="s">
        <v>71</v>
      </c>
      <c r="I36" s="90"/>
      <c r="J36" s="90"/>
      <c r="K36" s="90"/>
      <c r="L36" s="90"/>
      <c r="M36" s="90"/>
      <c r="N36" s="90"/>
      <c r="O36" s="91"/>
    </row>
    <row r="37" spans="2:15" ht="24.75" customHeight="1" x14ac:dyDescent="0.25">
      <c r="B37" s="11"/>
      <c r="G37" s="11"/>
      <c r="H37" s="11"/>
      <c r="I37" s="11"/>
    </row>
    <row r="38" spans="2:15" ht="24.75" customHeight="1" x14ac:dyDescent="0.25">
      <c r="B38" s="88" t="s">
        <v>72</v>
      </c>
      <c r="C38" s="88"/>
      <c r="D38" s="88"/>
      <c r="E38" s="88"/>
      <c r="F38" s="88"/>
      <c r="G38" s="88"/>
      <c r="H38" s="88"/>
      <c r="I38" s="88"/>
      <c r="J38" s="88"/>
      <c r="K38" s="88"/>
      <c r="L38" s="88"/>
      <c r="M38" s="88"/>
      <c r="N38" s="88"/>
      <c r="O38" s="88"/>
    </row>
    <row r="39" spans="2:15" ht="24.75" customHeight="1" x14ac:dyDescent="0.25">
      <c r="B39" s="88" t="s">
        <v>73</v>
      </c>
      <c r="C39" s="88"/>
      <c r="D39" s="88"/>
      <c r="E39" s="88"/>
      <c r="F39" s="88"/>
      <c r="G39" s="88"/>
      <c r="H39" s="88"/>
      <c r="I39" s="88"/>
      <c r="J39" s="88"/>
      <c r="K39" s="88"/>
      <c r="L39" s="88"/>
      <c r="M39" s="88"/>
      <c r="N39" s="88"/>
      <c r="O39" s="88"/>
    </row>
    <row r="40" spans="2:15" ht="24.75" customHeight="1" x14ac:dyDescent="0.25">
      <c r="B40" s="80" t="s">
        <v>74</v>
      </c>
      <c r="C40" s="80"/>
      <c r="D40" s="80"/>
      <c r="E40" s="80"/>
      <c r="F40" s="80"/>
      <c r="G40" s="80"/>
      <c r="H40" s="80" t="s">
        <v>75</v>
      </c>
      <c r="I40" s="80"/>
      <c r="J40" s="80"/>
      <c r="K40" s="80"/>
      <c r="L40" s="80"/>
      <c r="M40" s="80" t="s">
        <v>76</v>
      </c>
      <c r="N40" s="80"/>
      <c r="O40" s="80"/>
    </row>
    <row r="41" spans="2:15" ht="24.75" customHeight="1" x14ac:dyDescent="0.25">
      <c r="B41" s="61"/>
      <c r="C41" s="61"/>
      <c r="D41" s="61"/>
      <c r="E41" s="61"/>
      <c r="F41" s="61"/>
      <c r="G41" s="61"/>
      <c r="H41" s="61"/>
      <c r="I41" s="61"/>
      <c r="J41" s="61"/>
      <c r="K41" s="61"/>
      <c r="L41" s="61"/>
      <c r="M41" s="61"/>
      <c r="N41" s="61"/>
      <c r="O41" s="61"/>
    </row>
    <row r="42" spans="2:15" ht="24.75" customHeight="1" x14ac:dyDescent="0.25">
      <c r="B42" s="80" t="s">
        <v>77</v>
      </c>
      <c r="C42" s="80"/>
      <c r="D42" s="80"/>
      <c r="E42" s="80"/>
      <c r="F42" s="80"/>
      <c r="G42" s="80"/>
      <c r="H42" s="80"/>
      <c r="I42" s="80"/>
      <c r="J42" s="80"/>
      <c r="K42" s="80"/>
      <c r="L42" s="80"/>
      <c r="M42" s="80"/>
      <c r="N42" s="80"/>
      <c r="O42" s="80"/>
    </row>
    <row r="43" spans="2:15" ht="24.75" customHeight="1" x14ac:dyDescent="0.25">
      <c r="B43" s="80" t="s">
        <v>74</v>
      </c>
      <c r="C43" s="80"/>
      <c r="D43" s="80"/>
      <c r="E43" s="80"/>
      <c r="F43" s="80"/>
      <c r="G43" s="80"/>
      <c r="H43" s="80" t="s">
        <v>75</v>
      </c>
      <c r="I43" s="80"/>
      <c r="J43" s="80"/>
      <c r="K43" s="80"/>
      <c r="L43" s="80"/>
      <c r="M43" s="80" t="s">
        <v>76</v>
      </c>
      <c r="N43" s="80"/>
      <c r="O43" s="80"/>
    </row>
    <row r="44" spans="2:15" ht="24.75" customHeight="1" x14ac:dyDescent="0.25">
      <c r="B44" s="61"/>
      <c r="C44" s="61"/>
      <c r="D44" s="61"/>
      <c r="E44" s="61"/>
      <c r="F44" s="61"/>
      <c r="G44" s="61"/>
      <c r="H44" s="61"/>
      <c r="I44" s="61"/>
      <c r="J44" s="61"/>
      <c r="K44" s="61"/>
      <c r="L44" s="61"/>
      <c r="M44" s="61"/>
      <c r="N44" s="61"/>
      <c r="O44" s="61"/>
    </row>
    <row r="45" spans="2:15" ht="24.75" customHeight="1" x14ac:dyDescent="0.25">
      <c r="B45" s="80" t="s">
        <v>78</v>
      </c>
      <c r="C45" s="80"/>
      <c r="D45" s="80"/>
      <c r="E45" s="80"/>
      <c r="F45" s="80"/>
      <c r="G45" s="80"/>
      <c r="H45" s="80"/>
      <c r="I45" s="80"/>
      <c r="J45" s="80"/>
      <c r="K45" s="80"/>
      <c r="L45" s="80"/>
      <c r="M45" s="80"/>
      <c r="N45" s="80"/>
      <c r="O45" s="80"/>
    </row>
    <row r="46" spans="2:15" ht="24.75" customHeight="1" x14ac:dyDescent="0.25">
      <c r="B46" s="80" t="s">
        <v>74</v>
      </c>
      <c r="C46" s="80"/>
      <c r="D46" s="80"/>
      <c r="E46" s="80"/>
      <c r="F46" s="80"/>
      <c r="G46" s="80"/>
      <c r="H46" s="80" t="s">
        <v>75</v>
      </c>
      <c r="I46" s="80"/>
      <c r="J46" s="80"/>
      <c r="K46" s="80"/>
      <c r="L46" s="80"/>
      <c r="M46" s="80" t="s">
        <v>76</v>
      </c>
      <c r="N46" s="80"/>
      <c r="O46" s="80"/>
    </row>
    <row r="47" spans="2:15" ht="24.75" customHeight="1" x14ac:dyDescent="0.25">
      <c r="B47" s="61"/>
      <c r="C47" s="61"/>
      <c r="D47" s="61"/>
      <c r="E47" s="61"/>
      <c r="F47" s="61"/>
      <c r="G47" s="61"/>
      <c r="H47" s="61"/>
      <c r="I47" s="61"/>
      <c r="J47" s="61"/>
      <c r="K47" s="61"/>
      <c r="L47" s="61"/>
      <c r="M47" s="61"/>
      <c r="N47" s="61"/>
      <c r="O47" s="61"/>
    </row>
  </sheetData>
  <mergeCells count="76">
    <mergeCell ref="C11:O11"/>
    <mergeCell ref="B2:B4"/>
    <mergeCell ref="C2:O2"/>
    <mergeCell ref="C3:O4"/>
    <mergeCell ref="D5:F5"/>
    <mergeCell ref="H5:J5"/>
    <mergeCell ref="K5:L5"/>
    <mergeCell ref="M5:N5"/>
    <mergeCell ref="B6:O6"/>
    <mergeCell ref="B7:O7"/>
    <mergeCell ref="C10:I10"/>
    <mergeCell ref="I8:I9"/>
    <mergeCell ref="G8:G9"/>
    <mergeCell ref="C8:F9"/>
    <mergeCell ref="B8:B9"/>
    <mergeCell ref="K10:M10"/>
    <mergeCell ref="L8:L9"/>
    <mergeCell ref="O8:O9"/>
    <mergeCell ref="H8:H9"/>
    <mergeCell ref="N8:N9"/>
    <mergeCell ref="B20:B22"/>
    <mergeCell ref="O20:O22"/>
    <mergeCell ref="B18:B19"/>
    <mergeCell ref="C18:C19"/>
    <mergeCell ref="K18:L19"/>
    <mergeCell ref="G18:H19"/>
    <mergeCell ref="I18:J19"/>
    <mergeCell ref="D18:F18"/>
    <mergeCell ref="O18:O19"/>
    <mergeCell ref="H14:J17"/>
    <mergeCell ref="K13:M13"/>
    <mergeCell ref="K14:M17"/>
    <mergeCell ref="B40:G40"/>
    <mergeCell ref="H40:L40"/>
    <mergeCell ref="M40:O40"/>
    <mergeCell ref="C31:O31"/>
    <mergeCell ref="B33:O33"/>
    <mergeCell ref="B34:C35"/>
    <mergeCell ref="B36:C36"/>
    <mergeCell ref="F36:G36"/>
    <mergeCell ref="B38:O38"/>
    <mergeCell ref="B39:O39"/>
    <mergeCell ref="H36:O36"/>
    <mergeCell ref="D34:G34"/>
    <mergeCell ref="H34:O35"/>
    <mergeCell ref="M41:O41"/>
    <mergeCell ref="B42:O42"/>
    <mergeCell ref="B43:G43"/>
    <mergeCell ref="H43:L43"/>
    <mergeCell ref="M43:O43"/>
    <mergeCell ref="B47:G47"/>
    <mergeCell ref="H47:L47"/>
    <mergeCell ref="M47:O47"/>
    <mergeCell ref="G20:H22"/>
    <mergeCell ref="I20:J22"/>
    <mergeCell ref="K20:L22"/>
    <mergeCell ref="M20:N22"/>
    <mergeCell ref="B44:G44"/>
    <mergeCell ref="H44:L44"/>
    <mergeCell ref="M44:O44"/>
    <mergeCell ref="B45:O45"/>
    <mergeCell ref="B46:G46"/>
    <mergeCell ref="H46:L46"/>
    <mergeCell ref="M46:O46"/>
    <mergeCell ref="B41:G41"/>
    <mergeCell ref="H41:L41"/>
    <mergeCell ref="C12:O12"/>
    <mergeCell ref="B13:C13"/>
    <mergeCell ref="D13:G13"/>
    <mergeCell ref="N13:O13"/>
    <mergeCell ref="H13:J13"/>
    <mergeCell ref="B23:B30"/>
    <mergeCell ref="M18:N19"/>
    <mergeCell ref="B14:C17"/>
    <mergeCell ref="D14:G17"/>
    <mergeCell ref="N14:O17"/>
  </mergeCells>
  <pageMargins left="0.7" right="0.7" top="0.75" bottom="0.75" header="0.3" footer="0.3"/>
  <pageSetup scale="36"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373757E197BB42942B4A9A0274FAAA" ma:contentTypeVersion="11" ma:contentTypeDescription="Create a new document." ma:contentTypeScope="" ma:versionID="52e59513d481bac7aee6cb94c3b010dd">
  <xsd:schema xmlns:xsd="http://www.w3.org/2001/XMLSchema" xmlns:xs="http://www.w3.org/2001/XMLSchema" xmlns:p="http://schemas.microsoft.com/office/2006/metadata/properties" xmlns:ns2="70472de4-25fe-4884-b643-3e0cf4eb638a" xmlns:ns3="e3f848b3-f331-4ded-b5e3-b2696db713db" targetNamespace="http://schemas.microsoft.com/office/2006/metadata/properties" ma:root="true" ma:fieldsID="07ac446f0381a157f64320250da11ed8" ns2:_="" ns3:_="">
    <xsd:import namespace="70472de4-25fe-4884-b643-3e0cf4eb638a"/>
    <xsd:import namespace="e3f848b3-f331-4ded-b5e3-b2696db713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472de4-25fe-4884-b643-3e0cf4eb63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97d0d12-649e-4fe4-9e57-9c758ea736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3f848b3-f331-4ded-b5e3-b2696db713d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66fbd7b-9083-40c3-a03e-0d983f6c8753}" ma:internalName="TaxCatchAll" ma:showField="CatchAllData" ma:web="e3f848b3-f331-4ded-b5e3-b2696db713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3f848b3-f331-4ded-b5e3-b2696db713db" xsi:nil="true"/>
    <lcf76f155ced4ddcb4097134ff3c332f xmlns="70472de4-25fe-4884-b643-3e0cf4eb638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D50214E-4518-4C0B-B0F8-8EC874269A4A}"/>
</file>

<file path=customXml/itemProps2.xml><?xml version="1.0" encoding="utf-8"?>
<ds:datastoreItem xmlns:ds="http://schemas.openxmlformats.org/officeDocument/2006/customXml" ds:itemID="{C8FF82F1-7D5B-4D0D-A9FD-477288157914}"/>
</file>

<file path=customXml/itemProps3.xml><?xml version="1.0" encoding="utf-8"?>
<ds:datastoreItem xmlns:ds="http://schemas.openxmlformats.org/officeDocument/2006/customXml" ds:itemID="{39861189-6B41-48C2-971F-D4776650C2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LINEA ELECTIVA ENFASIS</vt:lpstr>
      <vt:lpstr>'LINEA ELECTIVA ENFASIS'!Área_de_impresión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Fulbia Emilia Cerón Gomez</cp:lastModifiedBy>
  <cp:revision/>
  <dcterms:created xsi:type="dcterms:W3CDTF">2023-11-07T19:05:59Z</dcterms:created>
  <dcterms:modified xsi:type="dcterms:W3CDTF">2025-11-04T21:53:28Z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0x01010036373757E197BB42942B4A9A0274FAAA</vt:lpwstr>
  </property>
  <property fmtid="{D5CDD505-2E9C-101B-9397-08002B2CF9AE}" pid="3" name="MediaServiceImageTags">
    <vt:lpwstr/>
  </property>
</Properties>
</file>