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https://unicafamnet-my.sharepoint.com/personal/fulbia_ceron_unicafam_edu_co/Documents/Desktop/Tecnología_Analisis_Gestion_Datos/"/>
    </mc:Choice>
  </mc:AlternateContent>
  <xr:revisionPtr revIDLastSave="48" documentId="8_{4E852242-2E2B-4A60-BA8E-D8E3D6D2E714}" xr6:coauthVersionLast="47" xr6:coauthVersionMax="47" xr10:uidLastSave="{533CC132-31A7-4B77-8CC9-619544A23F9A}"/>
  <bookViews>
    <workbookView xWindow="28680" yWindow="-120" windowWidth="20730" windowHeight="11040" tabRatio="973" xr2:uid="{5215262C-71F8-4050-9223-2AC67CBDAC40}"/>
  </bookViews>
  <sheets>
    <sheet name="Introduccion a la analitica de " sheetId="75" r:id="rId1"/>
  </sheets>
  <externalReferences>
    <externalReference r:id="rId2"/>
    <externalReference r:id="rId3"/>
    <externalReference r:id="rId4"/>
    <externalReference r:id="rId5"/>
    <externalReference r:id="rId6"/>
  </externalReferences>
  <definedNames>
    <definedName name="_xlnm.Print_Area" localSheetId="0">'Introduccion a la analitica de '!$B$2:$O$48</definedName>
    <definedName name="Competencias">[1]MaestroCompetencias!$B$2:$B$11</definedName>
    <definedName name="CRÉDITOS">'[2]Códigos '!$AK$70:$AK$74</definedName>
    <definedName name="DatosCompleto">[3]MaestroUA!$B$2:$M$89</definedName>
    <definedName name="ingenieria">#REF!</definedName>
    <definedName name="RedacciónRecurso">[4]MaestroRecursos!$B$2:$B$102</definedName>
    <definedName name="ResultadoAprendizaje">[1]MaestroResultadosA!$B$2:$B$12</definedName>
    <definedName name="Semestre">[5]asdf!$A$13:$A$20</definedName>
    <definedName name="TIPOLOGÍA">'[2]Códigos '!$AJ$70:$AJ$72</definedName>
    <definedName name="UnidadAcademica">[3]MaestroUA!$B$2:$B$89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75" l="1"/>
  <c r="M8" i="75"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<sst xmlns="http://schemas.openxmlformats.org/spreadsheetml/2006/main" count="100" uniqueCount="93">
  <si>
    <t>FUNDACIÓN UNIVERSITARIA CAFAM</t>
  </si>
  <si>
    <t xml:space="preserve">MACROPROCESO MISIONAL
DOCENCIA
UNIDAD DE APRENDIZAJE </t>
  </si>
  <si>
    <t>CÓDIGO</t>
  </si>
  <si>
    <t>MIDOFO05</t>
  </si>
  <si>
    <t>VERSIÓN</t>
  </si>
  <si>
    <t>VIGENCIA</t>
  </si>
  <si>
    <t>PÁGINA</t>
  </si>
  <si>
    <t>1 de 1</t>
  </si>
  <si>
    <t xml:space="preserve">UNIDAD DE APRENDIZAJE </t>
  </si>
  <si>
    <t>NOMBRE UNIDAD DE APRENDIZAJE:</t>
  </si>
  <si>
    <t xml:space="preserve">INTRODUCCIÓN A LA ANALÍTICA DE LOS DATOS </t>
  </si>
  <si>
    <t>N° Créditos:</t>
  </si>
  <si>
    <t>TFD:</t>
  </si>
  <si>
    <t>TTI:</t>
  </si>
  <si>
    <t>MODALIDAD:</t>
  </si>
  <si>
    <t>Presencial</t>
  </si>
  <si>
    <t>PROGRAMA:</t>
  </si>
  <si>
    <t>Tecnología en Análisis y gestión de Datos</t>
  </si>
  <si>
    <t>SEMESTRE:</t>
  </si>
  <si>
    <t>II</t>
  </si>
  <si>
    <t>CÓDIGO:</t>
  </si>
  <si>
    <t>ÁREA DE FORMACIÓN:</t>
  </si>
  <si>
    <t xml:space="preserve">Espécifica </t>
  </si>
  <si>
    <t>JUSTIFICACIÓN:</t>
  </si>
  <si>
    <t>Los entornos empresariales actuales requieren constantemente inspeccionar, limpiar, depurar y trasformas los datos con el objetivo de encontrar información útil que les permita realizar análisis y poder concluir sobre aspectos determinados de los objetivos del negocio y tomar decisiones.</t>
  </si>
  <si>
    <t xml:space="preserve">COMPETENCIA </t>
  </si>
  <si>
    <t>SABERES ESPECÍFICOS
(saber)</t>
  </si>
  <si>
    <t xml:space="preserve">HABILIDADES O DESTREZAS 
(saber hacer) </t>
  </si>
  <si>
    <t xml:space="preserve">ACTITUDES 
(saber ser) </t>
  </si>
  <si>
    <t xml:space="preserve">APRENDER A APRENDER </t>
  </si>
  <si>
    <t>Procesar datos que permitan identificar patrones y generar hipótesis sobre la relación entre estos.</t>
  </si>
  <si>
    <t>1. Concepto de Dato
1.1 Variables lineales
1.2 Variables aleatorias
1.4 Variables cuantitativas
1.5 Variables Cualitativas
2. Concepto de Información
3. Concepto de sistema de procesamiento de datos
4. Datos Estructurados
5 Datos no Estructurados
6 Definición de problema
7  Deducción de hipótesis contrastables.
8 Procedimientos de recolección de datos
8.1 Sistematización del dato 
8.2 Procedimientos de recolección de datos
8.3 Organización de los datos
9 Análisis de datos.</t>
  </si>
  <si>
    <t>Describe problemas reales de una forma metodológica, identificando sus partes y orígenes.
Utiliza técnicas de estadística básica  para llegar a la solución de un problema, siguiendo las pautas dadas en clase.
Implementa técnicas de sistematización de datos para realizar análisis.
Genera correlaciones e datos de acuerdo con el contexto del problema.
Genera informes de acuerdo con los análisis realizados.</t>
  </si>
  <si>
    <t>Respeta la participación de los compañeros y el profesor en clase (que muchas veces no coinciden con
la propia opinión).
Asume una posición crítica con respecto a la temática.
Demuestra orden y pulcritud en sus escritos.
Muestra interés para adquirir conocimientos amplios sobre la disciplina.
Demuestra seguridad en las exposiciones de sus ideas.
Toma posturas sólidas para defender sus argumentos.
Demuestra puntualidad en la entrega de sus trabajos.
Demuestra capacidad de trabajo bajo presión, ya que se cuenta con tiempo limitado para algunas actividades.</t>
  </si>
  <si>
    <t>Construye sus metas de aprendizaje para el desarrollo de la unidad.
Aplica y reflexiona sobre las estrategias que le permiten acceder, manejar y transformar sus conocimientos.
Reflexiona, verifica y autorregula su aprendizaje</t>
  </si>
  <si>
    <t xml:space="preserve">RESULTADO DE APREDIZAJE DEL PROGRAMA </t>
  </si>
  <si>
    <t xml:space="preserve">RESULTADOS DE APRENDIZAJE DE LA UNIDAD DE APZ </t>
  </si>
  <si>
    <t xml:space="preserve">CRITERIOS DE EVALUACIÓN </t>
  </si>
  <si>
    <t xml:space="preserve">ESTRATEGIAS DE EVALUACIÓN </t>
  </si>
  <si>
    <t>EVIDENCIAS DE CONOCIMIENTO</t>
  </si>
  <si>
    <t>EVIDENCIAS DE DESEMPEÑO</t>
  </si>
  <si>
    <t>EVIDENCIAS DE PRODUCTO</t>
  </si>
  <si>
    <t xml:space="preserve">METODOLOGIA:  ACTIVIDADES Y  ESTRATEGIAS  </t>
  </si>
  <si>
    <t xml:space="preserve">Nivel  Alto </t>
  </si>
  <si>
    <t xml:space="preserve">Nivel Medio </t>
  </si>
  <si>
    <t>Nivel bajo</t>
  </si>
  <si>
    <t>Identifica las relaciones existentes entre los datos para proponer hipótesis.</t>
  </si>
  <si>
    <t>Comprende la importancia del análisis de datos en la organización.</t>
  </si>
  <si>
    <t>Los análisis presentados y los resultados del taller con preguntas estructuradas permiten evidenciar un alto grado de apropiación de los conceptos e importancia del dato para la obteción de los objetivos de las organizaciones.</t>
  </si>
  <si>
    <t>Los productos presentados muestran tener un análisis aceptable frente a la discusión de la importancia del análisis del dato en las organizaciones, apropiandose mucho mejor de la importancia.</t>
  </si>
  <si>
    <t xml:space="preserve">Los productos presentados (pruebas estructuradas, ensayos, resúmenes, documento de conclusiones) evidencia un análisis pobre y ofrecen un panorama del analisis de la importancia del datoque refleja un nivel bajo en el desarrollo de la competencia. </t>
  </si>
  <si>
    <t xml:space="preserve">
Aprendizaje Basado en Problema.
Aprendizaje Basado en Proyecto.</t>
  </si>
  <si>
    <t xml:space="preserve">Para evaluar el conocimiento adquirido en el desarrollo del problema o proyecto, se utilizará una rúbrica como herramienta principal de evaluación. Esta rúbrica considerará aspectos como:
A) Claridad y precisión en la presentación de la información.
B)Profundidad del análisis
 C) Aplicación práctica de los conocimientos previos y adquiridos en el desarrollo de la Unidad de Aprendizaje
D) La transferencia de conocimientos adquiridos a lo largo de las las fases del problema, proyecto o caso 
E)  Calidad y pertinencia de las fuentes consultadas.
</t>
  </si>
  <si>
    <t>Con la rúbrica como herramienta de evaluación del desempeño se evidenciará:
A.) Responsabilidad
B.) Debate de ideas
C.) Diseño de planes y/o experimentos
D.) Recolección y análisis de datos
E.) Manejo de recursos disponibles, como el tiempo, los materiales y equipos
F.) Trabajo colaborativo
H.) Capacidad de planificación, ejecución y evaluación
I.) Autonomía
J.) Habilidades metacognitivas, como autodirección y autoevaluación
K.) Habilidades tecnológicas
L.) Integración de conceptos y conocimientos previos</t>
  </si>
  <si>
    <r>
      <t xml:space="preserve">Utilizando la rúbrica como herramienta de evaluación, se evidenciará el seguimiento progresivo y el cumplimiento gradual de los objetivos planteados en el problema o  proyecto  en los entregables. a travez de:
</t>
    </r>
    <r>
      <rPr>
        <b/>
        <sz val="11"/>
        <rFont val="Calibri"/>
        <family val="2"/>
        <scheme val="minor"/>
      </rPr>
      <t xml:space="preserve">
Productos Tangibles</t>
    </r>
    <r>
      <rPr>
        <sz val="11"/>
        <rFont val="Calibri"/>
        <family val="2"/>
        <scheme val="minor"/>
      </rPr>
      <t xml:space="preserve">:
Prototipos, modelos, artefactos físicos o digitales desarrollados como resultado del proyecto.
Informes, documentos técnicos, manuales o presentaciones que documentan el proceso y los resultados del proyecto.
Presentaciones o Demostraciones:
</t>
    </r>
    <r>
      <rPr>
        <b/>
        <sz val="11"/>
        <rFont val="Calibri"/>
        <family val="2"/>
        <scheme val="minor"/>
      </rPr>
      <t>Exposiciones públicas</t>
    </r>
    <r>
      <rPr>
        <sz val="11"/>
        <rFont val="Calibri"/>
        <family val="2"/>
        <scheme val="minor"/>
      </rPr>
      <t xml:space="preserve">, presentaciones orales o demostraciones ante compañeros, profesores o evaluadores externos.
Defensa de resultados ante un panel de expertos.
</t>
    </r>
    <r>
      <rPr>
        <b/>
        <sz val="11"/>
        <rFont val="Calibri"/>
        <family val="2"/>
        <scheme val="minor"/>
      </rPr>
      <t>Portafolios:</t>
    </r>
    <r>
      <rPr>
        <sz val="11"/>
        <rFont val="Calibri"/>
        <family val="2"/>
        <scheme val="minor"/>
      </rPr>
      <t xml:space="preserve">
Recopilación de trabajos, diseños, análisis, investigaciones y reflexiones relacionadas con el proyecto.
Puede incluir evidencia de la planificación, el proceso de ejecución, los resultados obtenidos y las lecciones aprendidas.
</t>
    </r>
    <r>
      <rPr>
        <b/>
        <sz val="11"/>
        <rFont val="Calibri"/>
        <family val="2"/>
        <scheme val="minor"/>
      </rPr>
      <t>Entregables Finales:</t>
    </r>
    <r>
      <rPr>
        <sz val="11"/>
        <rFont val="Calibri"/>
        <family val="2"/>
        <scheme val="minor"/>
      </rPr>
      <t xml:space="preserve">
Documentos finales que resumen los hallazgos, conclusiones y recomendaciones del proyecto.
Productos finales que cumplen con los objetivos y criterios establecidos al inicio del proyecto.
</t>
    </r>
    <r>
      <rPr>
        <b/>
        <sz val="11"/>
        <rFont val="Calibri"/>
        <family val="2"/>
        <scheme val="minor"/>
      </rPr>
      <t>Impacto o Aplicación Práctica:</t>
    </r>
    <r>
      <rPr>
        <sz val="11"/>
        <rFont val="Calibri"/>
        <family val="2"/>
        <scheme val="minor"/>
      </rPr>
      <t xml:space="preserve">
Pruebas de concepto, implementaciones piloto o evidencia de la aplicación práctica de los resultados del proyecto en situaciones reales.
</t>
    </r>
  </si>
  <si>
    <r>
      <t xml:space="preserve">Se establecen las siguientes fases para las actividades de aprendizaje:
</t>
    </r>
    <r>
      <rPr>
        <b/>
        <sz val="11"/>
        <rFont val="Calibri"/>
        <family val="2"/>
        <scheme val="minor"/>
      </rPr>
      <t xml:space="preserve">Aprendizaje Basado en Problemas. </t>
    </r>
    <r>
      <rPr>
        <sz val="11"/>
        <rFont val="Calibri"/>
        <family val="2"/>
        <scheme val="minor"/>
      </rPr>
      <t xml:space="preserve">
1. Leer y analizar el escenario o situación problema.
2. Identificar los objetivos de aprendizaje.
3. Identificar el conocimiento necesario previo y, reconocer saberes que requieren mayor profundización para lograr su solución.
4. Elaborar un esquema o representación que le permita comprender el problema.
5. Elaborar un diagnóstico que le permita una aproximación a la solución del problema.
6. Elaborar un plan de trabajo para abordar el problema.
7. Recopilar información sobre el problema.
8. Analizar la información recogida
9. Plantear los posibles resultados y evaluar su capacidad para abordar el problema
10. Desarrollar procesos de retroalimentación que lo lleven a verificar la solución del problema o nuevas hipótesis 
11. Reflexionar sobre el desempeño individual y grupal durante el desarrollo de la actividad.
</t>
    </r>
    <r>
      <rPr>
        <b/>
        <sz val="11"/>
        <rFont val="Calibri"/>
        <family val="2"/>
        <scheme val="minor"/>
      </rPr>
      <t>Aprendizaje Basado en Proyectos</t>
    </r>
    <r>
      <rPr>
        <sz val="11"/>
        <rFont val="Calibri"/>
        <family val="2"/>
        <scheme val="minor"/>
      </rPr>
      <t xml:space="preserve">
</t>
    </r>
    <r>
      <rPr>
        <b/>
        <sz val="11"/>
        <rFont val="Calibri"/>
        <family val="2"/>
        <scheme val="minor"/>
      </rPr>
      <t>Fase 0</t>
    </r>
    <r>
      <rPr>
        <sz val="11"/>
        <rFont val="Calibri"/>
        <family val="2"/>
        <scheme val="minor"/>
      </rPr>
      <t xml:space="preserve">: 
Presentación, lineamientos del Proyecto e indicaciones básicas procedimentales del proyecto
</t>
    </r>
    <r>
      <rPr>
        <b/>
        <sz val="11"/>
        <rFont val="Calibri"/>
        <family val="2"/>
        <scheme val="minor"/>
      </rPr>
      <t xml:space="preserve">
Fase 1:</t>
    </r>
    <r>
      <rPr>
        <sz val="11"/>
        <rFont val="Calibri"/>
        <family val="2"/>
        <scheme val="minor"/>
      </rPr>
      <t xml:space="preserve">
1.1. Planeación: Plan de trabajo del equipo
1.2. Investigación: Plantear objetivos, buscar información y realizar experimentos/laboratorios.
1.3. Consulta: contactar otros profesores y buscar soporte técnico.
1.4. Entregable Fase 1
</t>
    </r>
    <r>
      <rPr>
        <b/>
        <sz val="11"/>
        <rFont val="Calibri"/>
        <family val="2"/>
        <scheme val="minor"/>
      </rPr>
      <t xml:space="preserve">
Fase 2:</t>
    </r>
    <r>
      <rPr>
        <sz val="11"/>
        <rFont val="Calibri"/>
        <family val="2"/>
        <scheme val="minor"/>
      </rPr>
      <t xml:space="preserve">
2.1. Diseño y Simulaciones
2.2. Integración - Construcción
2.3. Pruebas
2.4. Entregable Fase 2
</t>
    </r>
    <r>
      <rPr>
        <b/>
        <sz val="11"/>
        <rFont val="Calibri"/>
        <family val="2"/>
        <scheme val="minor"/>
      </rPr>
      <t xml:space="preserve">
Fase 3:</t>
    </r>
    <r>
      <rPr>
        <sz val="11"/>
        <rFont val="Calibri"/>
        <family val="2"/>
        <scheme val="minor"/>
      </rPr>
      <t xml:space="preserve">
3.1. Revisión y correción de fallas o errores
3.2. Presentación 
3.3. Demostración
3.4. Entregable Final: Informe final del Proyecto</t>
    </r>
  </si>
  <si>
    <t>Construye y define un problema relacionado con los datos en contextos particulares</t>
  </si>
  <si>
    <t>El soporte argumentativo y teórico soportan con suficiecia el problema planteado y sus hipótesis.</t>
  </si>
  <si>
    <t>El problema y las hipótesis desarrolladas presentan una adecuada justificación, pero requiere un mayor nivel de argumentación del problema</t>
  </si>
  <si>
    <t>El problema e hipótesis planteados no logran ser justificadas adecuadamente, faltando argumentación y soporte teórico</t>
  </si>
  <si>
    <t>Desarrolla el concepto de la estadística descriptiva e inferencial en casos de estudio</t>
  </si>
  <si>
    <t>Los conceptos son plenamente aplicados, de acuerdo con lo reflejado en la rúbrica aplicada.</t>
  </si>
  <si>
    <t>Las evidencias presentadas evidencian un bueno nivel de conceptualización de los temas, de acuerdo con la rúbrica aplicada</t>
  </si>
  <si>
    <t>EL estudio de caso y las evidencias presentadas en el portafolio no cumplen con los criterios mínimos de verificación de acuerdo con la rúbrica.</t>
  </si>
  <si>
    <t>Aplica procedimientos para la recolección de datos</t>
  </si>
  <si>
    <t>Los conceptos y procedimientos son apropiados en alto grado por el estudiante, de acuerdo con el nivel alto presentado en las evidencias</t>
  </si>
  <si>
    <t>Los resultados presentados en las evidencias muestran una apropiación media del los conceptos y procedimientos</t>
  </si>
  <si>
    <t>Las evidencias generadas por los talleres y las pruebas parciales muestran pobre conocmiento y aplicación de los procedimientos para la recolección de datos</t>
  </si>
  <si>
    <t>Discute resultados de acuerdo con análisis preliminares sobre los datos</t>
  </si>
  <si>
    <t>Presenta un alto nivel de argumentación técnica y análisis, de acuerdo con las evidencias recopiladas y evaluadas.</t>
  </si>
  <si>
    <t xml:space="preserve">Presenta un nivel medio de argumentación técnica y análisis, de acuerdo con las evidencias recopiladas y evaluadas. </t>
  </si>
  <si>
    <t xml:space="preserve">Presenta un pobre nivel de argumentación técnica y análisis, de acuerdo con las evidencias recopiladas y evaluadas. </t>
  </si>
  <si>
    <t xml:space="preserve">RECURSOS DE APOYO </t>
  </si>
  <si>
    <t>Aula virtual
Software https://www.python.org
Software https://www.mathworks.com/products/matlab.html
Software GeoGebra License; Non-commercial freeware; portions under General Public License (GPL).Wolfram alpha recursos gratuitos 
Sala móvil de equipos pórtatiles
Microsoft 365, incluye Microsoft Office (Word, Excel, PowerPoint, Publisher, Access, Power BI, OneNote, Outlook, Project y Visio), Licencia Universitaria.
Enginnering plus (gale)
Science infomation (gale)
Computer Science (gale)
E-Collection (ISO) (iCONTEC)</t>
  </si>
  <si>
    <t xml:space="preserve">BIBLIOGRAFÍA  </t>
  </si>
  <si>
    <t xml:space="preserve">Libros:
1. Analítica de Datos: Una Guía Esencial Para Principiantes En Minería de Datos, Recolección de Datos, Análisis de Big Data Para Negocios Y Conceptos de Inteligencia Empresarial. Herbert Jones. Amazon Digital Services LLC - Kdp Print Us, 2018. ISBN 9781790773565
2. An Introduction to Data Science. Jeffrey S. SAltz and Jeffrey M. Stanton. SAGE Publications, Inc; First edición (22 Septiembre 2017). ISBN-10 ‏ : ‎ 150637753X.
3. Introduction to statistics and data analysis, 4th ed. (2012). Reference &amp; Research Book News, 27(5). https://link.gale.com/apps/doc/A304010590/PPIS?u=cafam&amp;sid=bookmark-PPIS&amp;xid=095bc106 
4. Data Modeling Theory and Practice. Graeme Simsion. Technics Publications, 2007. ISBN 1634620739. Link: https://books.google.com.co/books?hl=en&amp;lr=&amp;id=ASTXBgAAQBAJ&amp;oi=fnd&amp;pg=PA3&amp;dq=Simsion,+G+(2007).+Data+modeling:+theory+and+practice.+Technics+Publications.&amp;ots=1eUEMp_Pzl&amp;sig=yy365wUAAWxu5-n_DZRoVx73fXY#v=onepage&amp;q=Simsion%2C%20G%20(2007).%20Data%20modeling%3A%20theory%20and%20practice.%20Technics%20Publications.&amp;f=false 
5. Introducción Al Análisis de Datos en Meta-Análisis. Emilio Letón Molina, Alejandro Pedromingo Marino. Ediciones Díaz de Santos, 2001. ISBN 847978489X.
6. Doing  Data  Science:  Straight  Talk  from  the  Frontline,  by  Cathy  O’Neil  and Rachel  Schutt,  O’Reilly  Media,  Inc.,  2014.  ISBN  978-1-449-35865-5.
7. Practical  Statistics  for  Data  Scientists,  by  Peter  Bruce  and  Andrew  Bruce, O’Reilly  Media,  Inc.,  2017.  ISBN  978-1-491-95296-2.
James,  G., Witten,  D., Hastie, T., &amp;  Tibshirani, R. (2013).  An  introduction to statistical learning with applications  in R.  New York:  Springer.  ISBN  978-1-4614-7137-0 (Available  for  download  at  no cost  from  http://www-bcf.usc.edu/~gareth/ISL/.) .
Artículos Científicos tomados de bases de datos de la Biblioteca digital de la Fundación Universitaria Cafam:
1. Cuello, V., Corradini, M. G., Rogers, M., &amp; Zarza, G. (2020). Data Science &amp; Engineering into Food Science: A novel Big Data Platform for Low Molecular Weight Gelators' Behavioral Analysis/Ciencia de Datos e Ingenieria en Ciencia de Alimentos: una Plataforma novedosa de Big Data para Analisis de Comportamiento de Gelantes de Bajo Peso Molecular. Journal of Computer Science &amp; Technology, 20(2), 72+. https://link.gale.com/apps/doc/A645131100/CDB?u=cafam&amp;sid=bookmark-CDB&amp;xid=210b0c26 
2. Yoo, H., Park, R. C., &amp; Chung, K. (2021). IoT-Based Health Big-Data Process Technologies: A Survey. KSII Transactions on Internet and Information Systems, 15(3), 974+. https://link.gale.com/apps/doc/A663596016/CDB?u=cafam&amp;sid=bookmark-CDB&amp;xid=359f250a
3. Plotnikova, V., Dumas, M., &amp; Milani, F. (2020). Adaptations of data mining methodologies: a systematic literature review. PeerJ Computer Science, 6, e267. https://link.gale.com/apps/doc/A624839555/CDB?u=cafam&amp;sid=bookmark-CDB&amp;xid=65eda0eb
4. Weber, N.M. and Wickett, K.M., 2016. Introduction to Data Models Special Collection. Data Science Journal, 15, p.14. DOI: http://doi.org/10.5334/dsj-2016-014 
5. https://scholar.googleusercontent.com/scholar?q=cache:e_H69a3k1mIJ:scholar.google.com/+introducci%C3%B3n+al+an%C3%A1lisis+de+datos+en+ingenier%C3%ADa&amp;hl=en&amp;as_sdt=0,5 </t>
  </si>
  <si>
    <t>CONTROL DE CAMBIOS</t>
  </si>
  <si>
    <t>FECHA DE APROBACIÓN</t>
  </si>
  <si>
    <t>DESCRIPCIÓN DEL CAMBIO</t>
  </si>
  <si>
    <t>DD</t>
  </si>
  <si>
    <t>MM</t>
  </si>
  <si>
    <t>AAAA</t>
  </si>
  <si>
    <t>Creación del Documento</t>
  </si>
  <si>
    <t>CONTROL DE DOCUMENTOS</t>
  </si>
  <si>
    <t>ELABORO</t>
  </si>
  <si>
    <t>NOMBRES Y APELLIDOS</t>
  </si>
  <si>
    <t>CARGO</t>
  </si>
  <si>
    <t>FIRMA</t>
  </si>
  <si>
    <t>REVISO</t>
  </si>
  <si>
    <t>Miller Alexander Quiroga Campos</t>
  </si>
  <si>
    <t>Profesor de Ciencia de Datos y TAGD</t>
  </si>
  <si>
    <t>Miller A. Quiroga Campos</t>
  </si>
  <si>
    <t>APROBÓ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</si>
</sst>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1"/>
      <name val="Calibri"/>
      <family val="2"/>
      <scheme val="minor"/>
    </font>
    <font>
      <sz val="11"/>
      <color rgb="FF000000"/>
      <name val="Verdana"/>
      <family val="2"/>
    </font>
    <font>
      <b/>
      <sz val="11"/>
      <color rgb="FFFFFFFF"/>
      <name val="Verdana"/>
      <family val="2"/>
    </font>
    <font>
      <b/>
      <sz val="11"/>
      <color rgb="FF000000"/>
      <name val="Verdana"/>
      <family val="2"/>
    </font>
    <font>
      <b/>
      <sz val="11"/>
      <color theme="0"/>
      <name val="Verdana"/>
      <family val="2"/>
    </font>
    <font>
      <sz val="11"/>
      <color theme="1"/>
      <name val="Verdana"/>
      <family val="2"/>
    </font>
    <font>
      <sz val="12"/>
      <name val="Calibri"/>
      <family val="2"/>
      <scheme val="minor"/>
    </font>
    <font>
      <sz val="12"/>
      <color rgb="FF000000"/>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8" tint="-0.499984740745262"/>
        <bgColor rgb="FF000000"/>
      </patternFill>
    </fill>
    <fill>
      <patternFill patternType="solid">
        <fgColor theme="0" tint="-0.249977111117893"/>
        <bgColor indexed="64"/>
      </patternFill>
    </fill>
    <fill>
      <patternFill patternType="solid">
        <fgColor theme="8" tint="-0.499984740745262"/>
        <bgColor indexed="64"/>
      </patternFill>
    </fill>
    <fill>
      <patternFill patternType="solid">
        <fgColor rgb="FFFFFFFF"/>
        <bgColor rgb="FF000000"/>
      </patternFill>
    </fill>
  </fills>
  <borders count="4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auto="1"/>
      </left>
      <right style="medium">
        <color auto="1"/>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rgb="FF000000"/>
      </left>
      <right style="thin">
        <color rgb="FF000000"/>
      </right>
      <top style="medium">
        <color indexed="64"/>
      </top>
      <bottom style="thin">
        <color rgb="FF000000"/>
      </bottom>
      <diagonal/>
    </border>
    <border>
      <left/>
      <right/>
      <top style="medium">
        <color indexed="64"/>
      </top>
      <bottom style="thin">
        <color auto="1"/>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style="medium">
        <color indexed="64"/>
      </right>
      <top/>
      <bottom/>
      <diagonal/>
    </border>
    <border>
      <left/>
      <right/>
      <top/>
      <bottom style="medium">
        <color indexed="64"/>
      </bottom>
      <diagonal/>
    </border>
    <border>
      <left style="thin">
        <color auto="1"/>
      </left>
      <right style="thin">
        <color auto="1"/>
      </right>
      <top/>
      <bottom style="thin">
        <color auto="1"/>
      </bottom>
      <diagonal/>
    </border>
    <border>
      <left style="medium">
        <color indexed="64"/>
      </left>
      <right/>
      <top/>
      <bottom style="thin">
        <color indexed="64"/>
      </bottom>
      <diagonal/>
    </border>
    <border>
      <left/>
      <right style="thin">
        <color auto="1"/>
      </right>
      <top/>
      <bottom style="thin">
        <color auto="1"/>
      </bottom>
      <diagonal/>
    </border>
    <border>
      <left style="medium">
        <color indexed="64"/>
      </left>
      <right/>
      <top/>
      <bottom/>
      <diagonal/>
    </border>
    <border>
      <left style="thin">
        <color auto="1"/>
      </left>
      <right/>
      <top/>
      <bottom style="thin">
        <color auto="1"/>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style="thin">
        <color auto="1"/>
      </top>
      <bottom/>
      <diagonal/>
    </border>
  </borders>
  <cellStyleXfs count="5">
    <xf numFmtId="0" fontId="0" fillId="0" borderId="0"/>
    <xf numFmtId="0" fontId="1" fillId="0" borderId="0"/>
    <xf numFmtId="0" fontId="1" fillId="0" borderId="0"/>
    <xf numFmtId="0" fontId="1" fillId="0" borderId="0"/>
    <xf numFmtId="0" fontId="1" fillId="0" borderId="0"/>
  </cellStyleXfs>
  <cellXfs count="113">
    <xf numFmtId="0" fontId="0" fillId="0" borderId="0" xfId="0"/>
    <xf numFmtId="0" fontId="8" fillId="2" borderId="21" xfId="1" applyFont="1" applyFill="1" applyBorder="1" applyAlignment="1">
      <alignment horizontal="center" vertical="center" wrapText="1"/>
    </xf>
    <xf numFmtId="0" fontId="9" fillId="0" borderId="10" xfId="0" applyFont="1" applyBorder="1" applyAlignment="1">
      <alignment horizontal="center" vertical="center" wrapText="1"/>
    </xf>
    <xf numFmtId="0" fontId="10" fillId="4" borderId="10" xfId="0" applyFont="1" applyFill="1" applyBorder="1" applyAlignment="1">
      <alignment horizontal="center" vertical="center" wrapText="1"/>
    </xf>
    <xf numFmtId="0" fontId="0" fillId="5" borderId="0" xfId="0" applyFill="1"/>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5" fillId="0" borderId="5" xfId="0" applyFont="1" applyBorder="1" applyAlignment="1">
      <alignment horizontal="left" vertical="center" wrapText="1"/>
    </xf>
    <xf numFmtId="0" fontId="6" fillId="2" borderId="6" xfId="0" applyFont="1" applyFill="1" applyBorder="1" applyAlignment="1">
      <alignment horizontal="left" vertical="center" wrapText="1"/>
    </xf>
    <xf numFmtId="0" fontId="6" fillId="2" borderId="10"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6" fillId="2" borderId="26"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5" fillId="0" borderId="38" xfId="0" applyFont="1" applyBorder="1" applyAlignment="1">
      <alignment horizontal="left" vertical="center" wrapText="1"/>
    </xf>
    <xf numFmtId="0" fontId="5" fillId="0" borderId="39" xfId="0" applyFont="1" applyBorder="1" applyAlignment="1">
      <alignment horizontal="left" vertical="center" wrapText="1"/>
    </xf>
    <xf numFmtId="0" fontId="5" fillId="0" borderId="0" xfId="0" applyFont="1" applyAlignment="1">
      <alignment horizontal="center" vertical="center" wrapText="1"/>
    </xf>
    <xf numFmtId="0" fontId="0" fillId="0" borderId="35" xfId="0" applyBorder="1"/>
    <xf numFmtId="0" fontId="5" fillId="0" borderId="40" xfId="0" applyFont="1" applyBorder="1" applyAlignment="1">
      <alignment horizontal="left" vertical="center" wrapText="1"/>
    </xf>
    <xf numFmtId="0" fontId="5" fillId="0" borderId="34" xfId="0" applyFont="1" applyBorder="1" applyAlignment="1">
      <alignment horizontal="left" vertical="center" wrapText="1"/>
    </xf>
    <xf numFmtId="0" fontId="12" fillId="6" borderId="9" xfId="0" applyFont="1" applyFill="1" applyBorder="1" applyAlignment="1" applyProtection="1">
      <alignment horizontal="center" vertical="center" wrapText="1"/>
      <protection hidden="1"/>
    </xf>
    <xf numFmtId="0" fontId="12" fillId="6" borderId="31" xfId="0" applyFont="1" applyFill="1" applyBorder="1" applyAlignment="1" applyProtection="1">
      <alignment horizontal="center" vertical="center" wrapText="1"/>
      <protection hidden="1"/>
    </xf>
    <xf numFmtId="0" fontId="13" fillId="0" borderId="9" xfId="0" applyFont="1" applyBorder="1" applyAlignment="1" applyProtection="1">
      <alignment horizontal="center" vertical="center" wrapText="1"/>
      <protection hidden="1"/>
    </xf>
    <xf numFmtId="0" fontId="13" fillId="5" borderId="0" xfId="0" applyFont="1" applyFill="1" applyAlignment="1">
      <alignment horizontal="center" vertical="center"/>
    </xf>
    <xf numFmtId="0" fontId="8" fillId="3" borderId="25" xfId="0" applyFont="1" applyFill="1" applyBorder="1" applyAlignment="1">
      <alignment vertical="center" wrapText="1"/>
    </xf>
    <xf numFmtId="0" fontId="7" fillId="0" borderId="11" xfId="0" applyFont="1" applyBorder="1" applyAlignment="1">
      <alignment horizontal="left" vertical="center" wrapText="1"/>
    </xf>
    <xf numFmtId="0" fontId="5" fillId="0" borderId="2" xfId="0" applyFont="1" applyBorder="1" applyAlignment="1">
      <alignment horizontal="center" vertical="center" wrapText="1"/>
    </xf>
    <xf numFmtId="0" fontId="7" fillId="3" borderId="37" xfId="0" applyFont="1" applyFill="1" applyBorder="1" applyAlignment="1">
      <alignment horizontal="left" vertical="top" wrapText="1"/>
    </xf>
    <xf numFmtId="0" fontId="14" fillId="0" borderId="37" xfId="0" applyFont="1" applyBorder="1" applyAlignment="1">
      <alignment horizontal="left" vertical="top" wrapText="1"/>
    </xf>
    <xf numFmtId="0" fontId="15" fillId="3" borderId="10" xfId="0" applyFont="1" applyFill="1" applyBorder="1" applyAlignment="1">
      <alignment horizontal="left" vertical="top" wrapText="1"/>
    </xf>
    <xf numFmtId="0" fontId="15" fillId="3" borderId="45" xfId="0" applyFont="1" applyFill="1" applyBorder="1" applyAlignment="1">
      <alignment horizontal="left" vertical="top" wrapText="1"/>
    </xf>
    <xf numFmtId="0" fontId="15" fillId="3" borderId="13" xfId="0" applyFont="1" applyFill="1" applyBorder="1" applyAlignment="1">
      <alignment horizontal="left" vertical="top" wrapText="1"/>
    </xf>
    <xf numFmtId="0" fontId="14" fillId="0" borderId="10" xfId="0" applyFont="1" applyBorder="1" applyAlignment="1">
      <alignment horizontal="left" vertical="top" wrapText="1"/>
    </xf>
    <xf numFmtId="0" fontId="14" fillId="0" borderId="45" xfId="0" applyFont="1" applyBorder="1" applyAlignment="1">
      <alignment horizontal="left" vertical="top" wrapText="1"/>
    </xf>
    <xf numFmtId="0" fontId="14" fillId="0" borderId="13" xfId="0" applyFont="1" applyBorder="1" applyAlignment="1">
      <alignment horizontal="left" vertical="top" wrapText="1"/>
    </xf>
    <xf numFmtId="0" fontId="12" fillId="6" borderId="10" xfId="0" applyFont="1" applyFill="1" applyBorder="1" applyAlignment="1" applyProtection="1">
      <alignment horizontal="center" vertical="center" wrapText="1"/>
      <protection hidden="1"/>
    </xf>
    <xf numFmtId="0" fontId="13" fillId="3" borderId="10" xfId="0" applyFont="1" applyFill="1" applyBorder="1" applyAlignment="1" applyProtection="1">
      <alignment horizontal="center" vertical="center" wrapText="1"/>
      <protection hidden="1"/>
    </xf>
    <xf numFmtId="0" fontId="9" fillId="7" borderId="7" xfId="0" applyFont="1" applyFill="1" applyBorder="1" applyAlignment="1">
      <alignment horizontal="center" wrapText="1"/>
    </xf>
    <xf numFmtId="0" fontId="9" fillId="7" borderId="8" xfId="0" applyFont="1" applyFill="1" applyBorder="1" applyAlignment="1">
      <alignment horizontal="center" wrapText="1"/>
    </xf>
    <xf numFmtId="0" fontId="9" fillId="7" borderId="9" xfId="0" applyFont="1" applyFill="1" applyBorder="1" applyAlignment="1">
      <alignment horizontal="center" wrapText="1"/>
    </xf>
    <xf numFmtId="0" fontId="10" fillId="4" borderId="10" xfId="0" applyFont="1" applyFill="1" applyBorder="1" applyAlignment="1">
      <alignment horizontal="center" vertical="center" wrapText="1"/>
    </xf>
    <xf numFmtId="0" fontId="12" fillId="6" borderId="7" xfId="0" applyFont="1" applyFill="1" applyBorder="1" applyAlignment="1" applyProtection="1">
      <alignment horizontal="center" vertical="center" wrapText="1"/>
      <protection hidden="1"/>
    </xf>
    <xf numFmtId="0" fontId="12" fillId="6" borderId="9" xfId="0" applyFont="1" applyFill="1" applyBorder="1" applyAlignment="1" applyProtection="1">
      <alignment horizontal="center" vertical="center" wrapText="1"/>
      <protection hidden="1"/>
    </xf>
    <xf numFmtId="0" fontId="13" fillId="0" borderId="10" xfId="0" applyFont="1" applyBorder="1" applyAlignment="1" applyProtection="1">
      <alignment horizontal="center" vertical="center" wrapText="1"/>
      <protection hidden="1"/>
    </xf>
    <xf numFmtId="0" fontId="0" fillId="3" borderId="10" xfId="0" applyFill="1" applyBorder="1" applyAlignment="1">
      <alignment horizontal="center"/>
    </xf>
    <xf numFmtId="0" fontId="7" fillId="0" borderId="2" xfId="0" applyFont="1" applyBorder="1" applyAlignment="1">
      <alignment horizontal="left" vertical="top" wrapText="1"/>
    </xf>
    <xf numFmtId="0" fontId="7" fillId="0" borderId="2" xfId="0" applyFont="1" applyBorder="1" applyAlignment="1">
      <alignment horizontal="left" vertical="top"/>
    </xf>
    <xf numFmtId="0" fontId="7" fillId="0" borderId="5" xfId="0" applyFont="1" applyBorder="1" applyAlignment="1">
      <alignment horizontal="left" vertical="top"/>
    </xf>
    <xf numFmtId="0" fontId="7" fillId="0" borderId="13" xfId="0" applyFont="1" applyBorder="1" applyAlignment="1">
      <alignment horizontal="left" vertical="top" wrapText="1"/>
    </xf>
    <xf numFmtId="0" fontId="7" fillId="0" borderId="14" xfId="0" applyFont="1" applyBorder="1" applyAlignment="1">
      <alignment horizontal="left" vertical="top" wrapText="1"/>
    </xf>
    <xf numFmtId="0" fontId="12" fillId="6" borderId="41" xfId="0" applyFont="1" applyFill="1" applyBorder="1" applyAlignment="1" applyProtection="1">
      <alignment horizontal="center" vertical="center" wrapText="1"/>
      <protection hidden="1"/>
    </xf>
    <xf numFmtId="0" fontId="12" fillId="6" borderId="42" xfId="0" applyFont="1" applyFill="1" applyBorder="1" applyAlignment="1" applyProtection="1">
      <alignment horizontal="center" vertical="center" wrapText="1"/>
      <protection hidden="1"/>
    </xf>
    <xf numFmtId="0" fontId="12" fillId="6" borderId="8" xfId="0" applyFont="1" applyFill="1" applyBorder="1" applyAlignment="1" applyProtection="1">
      <alignment horizontal="center" vertical="center" wrapText="1"/>
      <protection hidden="1"/>
    </xf>
    <xf numFmtId="0" fontId="12" fillId="6" borderId="31" xfId="0" applyFont="1" applyFill="1" applyBorder="1" applyAlignment="1" applyProtection="1">
      <alignment horizontal="center" vertical="center" wrapText="1"/>
      <protection hidden="1"/>
    </xf>
    <xf numFmtId="0" fontId="12" fillId="6" borderId="32" xfId="0" applyFont="1" applyFill="1" applyBorder="1" applyAlignment="1" applyProtection="1">
      <alignment horizontal="center" vertical="center" wrapText="1"/>
      <protection hidden="1"/>
    </xf>
    <xf numFmtId="0" fontId="6" fillId="2" borderId="33"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19" xfId="0" applyFont="1" applyFill="1" applyBorder="1" applyAlignment="1">
      <alignment horizontal="center" vertical="center" wrapText="1"/>
    </xf>
    <xf numFmtId="0" fontId="6" fillId="2" borderId="36" xfId="0" applyFont="1" applyFill="1" applyBorder="1" applyAlignment="1">
      <alignment horizontal="center" vertical="center" wrapText="1"/>
    </xf>
    <xf numFmtId="0" fontId="6" fillId="2" borderId="34"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44"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3" borderId="15" xfId="0" applyFont="1" applyFill="1" applyBorder="1" applyAlignment="1">
      <alignment horizontal="left" vertical="center" wrapText="1"/>
    </xf>
    <xf numFmtId="0" fontId="8" fillId="0" borderId="17" xfId="0" applyFont="1" applyBorder="1" applyAlignment="1">
      <alignment horizontal="left" vertical="top" wrapText="1"/>
    </xf>
    <xf numFmtId="0" fontId="8" fillId="0" borderId="18" xfId="0" applyFont="1" applyBorder="1" applyAlignment="1">
      <alignment horizontal="left" vertical="top" wrapText="1"/>
    </xf>
    <xf numFmtId="0" fontId="8" fillId="0" borderId="33" xfId="0" applyFont="1" applyBorder="1" applyAlignment="1">
      <alignment horizontal="left" vertical="top" wrapText="1"/>
    </xf>
    <xf numFmtId="0" fontId="8" fillId="0" borderId="34"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33" xfId="0" applyFont="1" applyBorder="1" applyAlignment="1">
      <alignment horizontal="left" vertical="top" wrapText="1"/>
    </xf>
    <xf numFmtId="0" fontId="7" fillId="0" borderId="34" xfId="0" applyFont="1" applyBorder="1" applyAlignment="1">
      <alignment horizontal="left" vertical="top" wrapText="1"/>
    </xf>
    <xf numFmtId="0" fontId="7" fillId="0" borderId="16" xfId="0" applyFont="1" applyBorder="1" applyAlignment="1">
      <alignment horizontal="left" vertical="top" wrapText="1"/>
    </xf>
    <xf numFmtId="0" fontId="6" fillId="2" borderId="43"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6" fillId="2" borderId="37"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6" fillId="2" borderId="41" xfId="0" applyFont="1" applyFill="1" applyBorder="1" applyAlignment="1">
      <alignment horizontal="center" vertical="center" wrapText="1"/>
    </xf>
    <xf numFmtId="0" fontId="6" fillId="2" borderId="42" xfId="0" applyFont="1" applyFill="1" applyBorder="1" applyAlignment="1">
      <alignment horizontal="center" vertical="center" wrapText="1"/>
    </xf>
    <xf numFmtId="0" fontId="6" fillId="2" borderId="39"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13" fillId="0" borderId="7" xfId="0" applyFont="1" applyBorder="1" applyAlignment="1" applyProtection="1">
      <alignment horizontal="center" vertical="center" wrapText="1"/>
      <protection hidden="1"/>
    </xf>
    <xf numFmtId="0" fontId="13" fillId="0" borderId="9" xfId="0" applyFont="1" applyBorder="1" applyAlignment="1" applyProtection="1">
      <alignment horizontal="center" vertical="center" wrapText="1"/>
      <protection hidden="1"/>
    </xf>
    <xf numFmtId="0" fontId="7" fillId="3" borderId="10" xfId="0" applyFont="1" applyFill="1" applyBorder="1" applyAlignment="1">
      <alignment vertical="center" wrapText="1"/>
    </xf>
    <xf numFmtId="0" fontId="7" fillId="3" borderId="10" xfId="0" applyFont="1" applyFill="1" applyBorder="1" applyAlignment="1">
      <alignment horizontal="left" vertical="top"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6" fillId="2" borderId="29"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0" borderId="3"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9" fillId="0" borderId="10" xfId="0" applyFont="1" applyBorder="1" applyAlignment="1">
      <alignment horizontal="center" vertical="center" wrapText="1"/>
    </xf>
    <xf numFmtId="0" fontId="11" fillId="0" borderId="10" xfId="0" applyFont="1" applyBorder="1" applyAlignment="1">
      <alignment horizontal="center" vertical="center" wrapText="1"/>
    </xf>
  </cellXfs>
  <cellStyles count="5">
    <cellStyle name="Normal" xfId="0" builtinId="0"/>
    <cellStyle name="Normal 13 2" xfId="3" xr:uid="{FCD13F3E-83D5-490A-BE78-6257E16846A6}"/>
    <cellStyle name="Normal 2 4 3" xfId="1" xr:uid="{707F6A04-57DC-4545-97E3-88866E5B772B}"/>
    <cellStyle name="Normal 2 6" xfId="4" xr:uid="{320F312A-F4B7-45D0-B5B6-4EC607EBEBE6}"/>
    <cellStyle name="Normal 3 7" xfId="2" xr:uid="{EE0F8EDF-03C8-467C-83A9-11CA5C0BF7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externalLink" Target="externalLinks/externalLink2.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microsoft.com/office/2022/10/relationships/richValueRel" Target="richData/richValueRel.xml"/><Relationship Id="rId5" Type="http://schemas.openxmlformats.org/officeDocument/2006/relationships/externalLink" Target="externalLinks/externalLink4.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externalLink" Target="externalLinks/externalLink3.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eduardo_rodrigueza_unicafam_edu_co/Documents/Desktop/UA%20Desarrollo%20de%20Aplicaciones%20para%20Telecomunicacion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uber/Dropbox/Espacio%20familiar/UNIR/RA/Matriz%20Resultados%20de%20Aprendizaje%20Especializaci&#243;n%20GS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23EED28/Formato%20UA%20Programa%20de%20Ingenieri&#769;a%20de%20Telecomunicacion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carlos_carrasco_unicafam_edu_co/Documents/En%20proceso/Plan%202023%20Circuitos%20electr&#243;nicos%20II%20V0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rvicios/OneDrive%20-%20Fundaci&#243;n%20Universitaria%20Cafam/Santiago/UA%20guias/8.%20Octavo%20semestre%20UA%20Espec&#237;fic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Desarrollo Aplicaciones I"/>
      <sheetName val="Desarrollo Aplicaciones II"/>
    </sheetNames>
    <sheetDataSet>
      <sheetData sheetId="0">
        <row r="2">
          <cell r="B2" t="str">
            <v>Diseñar la infraestructura de las redes de datos, sistemas telemáticos y radiocomunicaciones, para cubrir los requerimientos, necesidades y funcionamiento de los sistemas de comunicaciones de las organizaciones, bajo condiciones de calidad, factibilidad técnica, económica y de sustentabilidad; teniendo en cuenta las Arquitecturas, estándares, modelos, marcos generales y legales de telecomunicaciones.</v>
          </cell>
        </row>
        <row r="3">
          <cell r="B3" t="str">
            <v>Aplicar los elementos conceptuales de la generación y gestión de proyectos asociados a plataformas, sistemas y servicios de las Tecnologías de la información y las Comunicaciones; entendiendo la necesidad de estos en el avance y consolidación de las organizaciones con criterios de optimización y generación de valor.</v>
          </cell>
        </row>
        <row r="4">
          <cell r="B4" t="str">
            <v xml:space="preserve">Analizar el funcionamiento de circuitos eléctricos y electrónicos de los sistemas de telecomunicaciones, y su configuración a través del desarrollo de programas informáticos para telecomunicaciones; teniendo en cuenta las metodologías de desarrollo de software, los estándares y normas técnicas, buscando la optimización de los recursos disponibles. </v>
          </cell>
        </row>
        <row r="5">
          <cell r="B5" t="str">
            <v xml:space="preserve"> </v>
          </cell>
        </row>
        <row r="6">
          <cell r="B6" t="str">
            <v>Comp5</v>
          </cell>
        </row>
        <row r="7">
          <cell r="B7" t="str">
            <v>Comp6</v>
          </cell>
        </row>
        <row r="8">
          <cell r="B8" t="str">
            <v>Comp7</v>
          </cell>
        </row>
        <row r="9">
          <cell r="B9" t="str">
            <v>Comp8</v>
          </cell>
        </row>
        <row r="10">
          <cell r="B10" t="str">
            <v>Comp9</v>
          </cell>
        </row>
        <row r="11">
          <cell r="B11" t="str">
            <v>Comp10</v>
          </cell>
        </row>
      </sheetData>
      <sheetData sheetId="1">
        <row r="2">
          <cell r="B2" t="str">
            <v>Desarrolla el diseño y la configuración de las redes de datos y sistemas telemáticos, teniendo en cuenta la arquitectura de red, estándares, modelos, marcos generales y necesidades de la organización.</v>
          </cell>
        </row>
        <row r="3">
          <cell r="B3" t="str">
            <v>Desarrolla el diseño y la configuración de los sistemas de radiocomunicaciones teniendo en cuenta la tecnología, estándares, modelos, normas y el marco regulatorio y legal de las telecomunicaciones.</v>
          </cell>
        </row>
        <row r="4">
          <cell r="B4" t="str">
            <v>Propone proyectos de Tecnologías de Información y de Comunicaciones (TIC), estructurando y armonizando elementos de calidad, eficiencia, economía y sustentabilidad.</v>
          </cell>
        </row>
        <row r="5">
          <cell r="B5" t="str">
            <v>Analiza el funcionamiento de circuitos eléctricos y electrónicos de los sistemas de radiocomunicaciones y redes de datos, y su configuración a través del desarrollo de programas informáticos para telecomunicaciones.</v>
          </cell>
        </row>
        <row r="6">
          <cell r="B6" t="str">
            <v xml:space="preserve"> </v>
          </cell>
        </row>
        <row r="7">
          <cell r="B7" t="str">
            <v>ResAp06</v>
          </cell>
        </row>
        <row r="8">
          <cell r="B8" t="str">
            <v>ResAp07</v>
          </cell>
        </row>
        <row r="9">
          <cell r="B9" t="str">
            <v>ResAp08</v>
          </cell>
        </row>
        <row r="10">
          <cell r="B10" t="str">
            <v>ResAp09</v>
          </cell>
        </row>
        <row r="11">
          <cell r="B11" t="str">
            <v>ResAp10</v>
          </cell>
        </row>
      </sheetData>
      <sheetData sheetId="2">
        <row r="2">
          <cell r="B2" t="str">
            <v>Fundamentos de Redes de Datos</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íz de RA"/>
      <sheetName val="Taxonomias "/>
      <sheetName val="RA"/>
      <sheetName val="Códigos "/>
    </sheetNames>
    <sheetDataSet>
      <sheetData sheetId="0" refreshError="1"/>
      <sheetData sheetId="1" refreshError="1"/>
      <sheetData sheetId="2" refreshError="1"/>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UA"/>
      <sheetName val="Algoritmos y Programación"/>
      <sheetName val="Programación Avanzada"/>
      <sheetName val="DesarrolloAplicaciones I"/>
      <sheetName val="DesarrolloAplicaciones II"/>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estroCompetencias"/>
      <sheetName val="MaestroResultadosA"/>
      <sheetName val="MaestroRecursos"/>
      <sheetName val="MaestroNombreUA"/>
      <sheetName val="MaestroUA"/>
      <sheetName val="Hoja1"/>
    </sheetNames>
    <sheetDataSet>
      <sheetData sheetId="0"/>
      <sheetData sheetId="1"/>
      <sheetData sheetId="2">
        <row r="2">
          <cell r="B2"/>
        </row>
        <row r="3">
          <cell r="B3" t="str">
            <v>Acceso a Internet</v>
          </cell>
        </row>
        <row r="4">
          <cell r="B4" t="str">
            <v>Aula tradicional / (Tablero acrílico / Proyector / Otros)</v>
          </cell>
        </row>
        <row r="5">
          <cell r="B5" t="str">
            <v>Aula virtual / Acceso (MOODLE / CHAT / EMAIL / INTERNET / Otros)</v>
          </cell>
        </row>
        <row r="6">
          <cell r="B6" t="str">
            <v>Computador (escritorio / portátil)</v>
          </cell>
        </row>
        <row r="7">
          <cell r="B7" t="str">
            <v>Computador / Software automatización del diseño electrónico - EDA (Opciones: PROTEUS / MULTISIM / Otros)</v>
          </cell>
        </row>
        <row r="8">
          <cell r="B8" t="str">
            <v>Computador / Software compilador de código C# (Opciones: ECLIPSE / Otros)</v>
          </cell>
        </row>
        <row r="9">
          <cell r="B9" t="str">
            <v>Computador / Software creación y gestión mapas conceptuales (Opciones: CMAP / Otros)</v>
          </cell>
        </row>
        <row r="10">
          <cell r="B10" t="str">
            <v>Computador / Software Diagramas de Flujo de Datos (Opciones: DFD / VISIO / Otros)</v>
          </cell>
        </row>
        <row r="11">
          <cell r="B11" t="str">
            <v>Computador / Software editor de código (Opciones: NOTEPAD++ / VISUAL STUDIO / Otros)</v>
          </cell>
        </row>
        <row r="12">
          <cell r="B12" t="str">
            <v>Computador / Software hoja de cálculo (EXCEL / OPEN OFFICE / Otros)</v>
          </cell>
        </row>
        <row r="13">
          <cell r="B13" t="str">
            <v>Computador / Software para Diseño Asistido por Computador - CAD (Opciones: AUTOCAD / RHINOCEROS / SOLID WORKS / Otros)</v>
          </cell>
        </row>
        <row r="14">
          <cell r="B14" t="str">
            <v>Computador / Software procesador de texto (Opciones: WORD / LATEX / Otros)</v>
          </cell>
        </row>
        <row r="15">
          <cell r="B15" t="str">
            <v>Computador / Software procesamiento datos estadísticos (Opciones: MINITAB / R / Otros)</v>
          </cell>
        </row>
        <row r="16">
          <cell r="B16" t="str">
            <v>Computador / Software programación gráfica (Opciones: LABVIEW / SIMULINK / Otros)</v>
          </cell>
        </row>
        <row r="17">
          <cell r="B17" t="str">
            <v>Computador / Software simulación dispositivos electrónicos (Opciones: THINKERCAD / Otros)</v>
          </cell>
        </row>
        <row r="18">
          <cell r="B18" t="str">
            <v>Computador / Software simulación electromagnética (Opciones: MEEP-FDTD / FEKO / Otros)</v>
          </cell>
        </row>
        <row r="19">
          <cell r="B19" t="str">
            <v>Computador / Software simulación matemática (Opciones: MATLAB / SCILAB / OCTAVE / DERIVE / MATHCAD / Otros)</v>
          </cell>
        </row>
        <row r="20">
          <cell r="B20" t="str">
            <v>Computador / Software simulación procesos industriales (Opciones: FLEXIM / Otros)</v>
          </cell>
        </row>
        <row r="21">
          <cell r="B21" t="str">
            <v>Computador / Software simulador gráfico de red (Opciones: PACKET TRACER / GNS3 / Otros)</v>
          </cell>
        </row>
        <row r="22">
          <cell r="B22" t="str">
            <v>Laboratorio / Equipos de medición eléctrica (MULTÌMETRO / OSCILOSCOPIO / ANALIZAR ESPECTRO / Otros)</v>
          </cell>
        </row>
        <row r="23">
          <cell r="B23" t="str">
            <v>Laboratorio / Equipos de redes de telecomunicaciones</v>
          </cell>
        </row>
        <row r="24">
          <cell r="B24" t="str">
            <v>Laboratorio / Equipos fuente de energía (Generador sencillo / Generador dual / Generador de funciones)</v>
          </cell>
        </row>
        <row r="25">
          <cell r="B25" t="str">
            <v>Laboratorio / Herramienta para electricidad y electrónica (Alicate, Pinza, Destornillador, Cautín)</v>
          </cell>
        </row>
        <row r="26">
          <cell r="B26" t="str">
            <v>Laboratorio dispositivos de redes (SWITCH / ROUTER / TRANSCEIVER / MODEM / HUB</v>
          </cell>
        </row>
        <row r="27">
          <cell r="B27">
            <v>0</v>
          </cell>
        </row>
        <row r="28">
          <cell r="B28">
            <v>0</v>
          </cell>
        </row>
        <row r="29">
          <cell r="B29">
            <v>0</v>
          </cell>
        </row>
        <row r="30">
          <cell r="B30">
            <v>0</v>
          </cell>
        </row>
        <row r="31">
          <cell r="B31">
            <v>0</v>
          </cell>
        </row>
        <row r="32">
          <cell r="B32">
            <v>0</v>
          </cell>
        </row>
        <row r="33">
          <cell r="B33">
            <v>0</v>
          </cell>
        </row>
        <row r="34">
          <cell r="B34">
            <v>0</v>
          </cell>
        </row>
        <row r="35">
          <cell r="B35">
            <v>0</v>
          </cell>
        </row>
        <row r="36">
          <cell r="B36">
            <v>0</v>
          </cell>
        </row>
        <row r="37">
          <cell r="B37">
            <v>0</v>
          </cell>
        </row>
        <row r="38">
          <cell r="B38">
            <v>0</v>
          </cell>
        </row>
        <row r="39">
          <cell r="B39">
            <v>0</v>
          </cell>
        </row>
        <row r="40">
          <cell r="B40">
            <v>0</v>
          </cell>
        </row>
        <row r="41">
          <cell r="B41">
            <v>0</v>
          </cell>
        </row>
        <row r="42">
          <cell r="B42">
            <v>0</v>
          </cell>
        </row>
        <row r="43">
          <cell r="B43">
            <v>0</v>
          </cell>
        </row>
        <row r="44">
          <cell r="B44">
            <v>0</v>
          </cell>
        </row>
        <row r="45">
          <cell r="B45">
            <v>0</v>
          </cell>
        </row>
        <row r="46">
          <cell r="B46">
            <v>0</v>
          </cell>
        </row>
        <row r="47">
          <cell r="B47">
            <v>0</v>
          </cell>
        </row>
        <row r="48">
          <cell r="B48">
            <v>0</v>
          </cell>
        </row>
        <row r="49">
          <cell r="B49">
            <v>0</v>
          </cell>
        </row>
        <row r="50">
          <cell r="B50">
            <v>0</v>
          </cell>
        </row>
        <row r="51">
          <cell r="B51">
            <v>0</v>
          </cell>
        </row>
        <row r="52">
          <cell r="B52">
            <v>0</v>
          </cell>
        </row>
        <row r="53">
          <cell r="B53">
            <v>0</v>
          </cell>
        </row>
        <row r="54">
          <cell r="B54">
            <v>0</v>
          </cell>
        </row>
        <row r="55">
          <cell r="B55">
            <v>0</v>
          </cell>
        </row>
        <row r="56">
          <cell r="B56">
            <v>0</v>
          </cell>
        </row>
        <row r="57">
          <cell r="B57">
            <v>0</v>
          </cell>
        </row>
        <row r="58">
          <cell r="B58">
            <v>0</v>
          </cell>
        </row>
        <row r="59">
          <cell r="B59">
            <v>0</v>
          </cell>
        </row>
        <row r="60">
          <cell r="B60">
            <v>0</v>
          </cell>
        </row>
        <row r="61">
          <cell r="B61">
            <v>0</v>
          </cell>
        </row>
        <row r="62">
          <cell r="B62">
            <v>0</v>
          </cell>
        </row>
        <row r="63">
          <cell r="B63">
            <v>0</v>
          </cell>
        </row>
        <row r="64">
          <cell r="B64">
            <v>0</v>
          </cell>
        </row>
        <row r="65">
          <cell r="B65">
            <v>0</v>
          </cell>
        </row>
        <row r="66">
          <cell r="B66">
            <v>0</v>
          </cell>
        </row>
        <row r="67">
          <cell r="B67">
            <v>0</v>
          </cell>
        </row>
        <row r="68">
          <cell r="B68">
            <v>0</v>
          </cell>
        </row>
        <row r="69">
          <cell r="B69">
            <v>0</v>
          </cell>
        </row>
        <row r="70">
          <cell r="B70">
            <v>0</v>
          </cell>
        </row>
        <row r="71">
          <cell r="B71">
            <v>0</v>
          </cell>
        </row>
        <row r="72">
          <cell r="B72">
            <v>0</v>
          </cell>
        </row>
        <row r="73">
          <cell r="B73">
            <v>0</v>
          </cell>
        </row>
        <row r="74">
          <cell r="B74">
            <v>0</v>
          </cell>
        </row>
        <row r="75">
          <cell r="B75">
            <v>0</v>
          </cell>
        </row>
        <row r="76">
          <cell r="B76">
            <v>0</v>
          </cell>
        </row>
        <row r="77">
          <cell r="B77">
            <v>0</v>
          </cell>
        </row>
        <row r="78">
          <cell r="B78">
            <v>0</v>
          </cell>
        </row>
        <row r="79">
          <cell r="B79">
            <v>0</v>
          </cell>
        </row>
        <row r="80">
          <cell r="B80">
            <v>0</v>
          </cell>
        </row>
        <row r="81">
          <cell r="B81">
            <v>0</v>
          </cell>
        </row>
        <row r="82">
          <cell r="B82">
            <v>0</v>
          </cell>
        </row>
        <row r="83">
          <cell r="B83">
            <v>0</v>
          </cell>
        </row>
        <row r="84">
          <cell r="B84">
            <v>0</v>
          </cell>
        </row>
        <row r="85">
          <cell r="B85">
            <v>0</v>
          </cell>
        </row>
        <row r="86">
          <cell r="B86">
            <v>0</v>
          </cell>
        </row>
        <row r="87">
          <cell r="B87">
            <v>0</v>
          </cell>
        </row>
        <row r="88">
          <cell r="B88">
            <v>0</v>
          </cell>
        </row>
        <row r="89">
          <cell r="B89">
            <v>0</v>
          </cell>
        </row>
        <row r="90">
          <cell r="B90">
            <v>0</v>
          </cell>
        </row>
        <row r="91">
          <cell r="B91">
            <v>0</v>
          </cell>
        </row>
        <row r="92">
          <cell r="B92">
            <v>0</v>
          </cell>
        </row>
        <row r="93">
          <cell r="B93">
            <v>0</v>
          </cell>
        </row>
        <row r="94">
          <cell r="B94">
            <v>0</v>
          </cell>
        </row>
        <row r="95">
          <cell r="B95">
            <v>0</v>
          </cell>
        </row>
        <row r="96">
          <cell r="B96">
            <v>0</v>
          </cell>
        </row>
        <row r="97">
          <cell r="B97">
            <v>0</v>
          </cell>
        </row>
        <row r="98">
          <cell r="B98">
            <v>0</v>
          </cell>
        </row>
        <row r="99">
          <cell r="B99">
            <v>0</v>
          </cell>
        </row>
        <row r="100">
          <cell r="B100">
            <v>0</v>
          </cell>
        </row>
        <row r="101">
          <cell r="B101">
            <v>0</v>
          </cell>
        </row>
        <row r="102">
          <cell r="B102">
            <v>0</v>
          </cell>
        </row>
      </sheetData>
      <sheetData sheetId="3"/>
      <sheetData sheetId="4">
        <row r="2">
          <cell r="B2" t="str">
            <v>Fundamentos de Redes de Datos</v>
          </cell>
        </row>
      </sheetData>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df"/>
      <sheetName val="Producción limpia"/>
      <sheetName val="Desarrollo de productos y servi"/>
      <sheetName val="Logística integral "/>
      <sheetName val="Practica profesional II"/>
    </sheetNames>
    <sheetDataSet>
      <sheetData sheetId="0"/>
      <sheetData sheetId="1"/>
      <sheetData sheetId="2"/>
      <sheetData sheetId="3"/>
      <sheetData sheetId="4"/>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B931D-6F97-43E1-9D48-DFF45D66026C}">
  <sheetPr>
    <tabColor theme="8"/>
  </sheetPr>
  <dimension ref="B2:O48"/>
  <sheetViews>
    <sheetView tabSelected="1" topLeftCell="A32" zoomScale="93" zoomScaleNormal="93" workbookViewId="0">
      <selection activeCell="C32" sqref="C32:O32"/>
    </sheetView>
  </sheetViews>
  <sheetFormatPr baseColWidth="10" defaultColWidth="10.85546875" defaultRowHeight="15" x14ac:dyDescent="0.25"/>
  <cols>
    <col min="1" max="1" width="5.7109375" style="4" customWidth="1"/>
    <col min="2" max="6" width="24.7109375" style="4" customWidth="1"/>
    <col min="7" max="14" width="12.7109375" style="4" customWidth="1"/>
    <col min="15" max="15" width="24.7109375" style="4" customWidth="1"/>
    <col min="16" max="16" width="5.85546875" style="4" customWidth="1"/>
    <col min="17" max="17" width="10.85546875" style="4"/>
    <col min="18" max="18" width="14" style="4" customWidth="1"/>
    <col min="19" max="16384" width="10.85546875" style="4"/>
  </cols>
  <sheetData>
    <row r="2" spans="2:15" ht="25.5" customHeight="1" x14ac:dyDescent="0.25">
      <c r="B2" s="111" t="e" vm="1">
        <v>#VALUE!</v>
      </c>
      <c r="C2" s="43" t="s">
        <v>0</v>
      </c>
      <c r="D2" s="43"/>
      <c r="E2" s="43"/>
      <c r="F2" s="43"/>
      <c r="G2" s="43"/>
      <c r="H2" s="43"/>
      <c r="I2" s="43"/>
      <c r="J2" s="43"/>
      <c r="K2" s="43"/>
      <c r="L2" s="43"/>
      <c r="M2" s="43"/>
      <c r="N2" s="43"/>
      <c r="O2" s="43"/>
    </row>
    <row r="3" spans="2:15" ht="24" customHeight="1" x14ac:dyDescent="0.25">
      <c r="B3" s="111"/>
      <c r="C3" s="112" t="s">
        <v>1</v>
      </c>
      <c r="D3" s="112"/>
      <c r="E3" s="112"/>
      <c r="F3" s="112"/>
      <c r="G3" s="112"/>
      <c r="H3" s="112"/>
      <c r="I3" s="112"/>
      <c r="J3" s="112"/>
      <c r="K3" s="112"/>
      <c r="L3" s="112"/>
      <c r="M3" s="112"/>
      <c r="N3" s="112"/>
      <c r="O3" s="112"/>
    </row>
    <row r="4" spans="2:15" ht="24" customHeight="1" x14ac:dyDescent="0.25">
      <c r="B4" s="111"/>
      <c r="C4" s="112"/>
      <c r="D4" s="112"/>
      <c r="E4" s="112"/>
      <c r="F4" s="112"/>
      <c r="G4" s="112"/>
      <c r="H4" s="112"/>
      <c r="I4" s="112"/>
      <c r="J4" s="112"/>
      <c r="K4" s="112"/>
      <c r="L4" s="112"/>
      <c r="M4" s="112"/>
      <c r="N4" s="112"/>
      <c r="O4" s="112"/>
    </row>
    <row r="5" spans="2:15" ht="20.100000000000001" customHeight="1" x14ac:dyDescent="0.25">
      <c r="B5" s="3" t="s">
        <v>2</v>
      </c>
      <c r="C5" s="2" t="s">
        <v>3</v>
      </c>
      <c r="D5" s="43" t="s">
        <v>4</v>
      </c>
      <c r="E5" s="43"/>
      <c r="F5" s="43"/>
      <c r="G5" s="2">
        <v>1</v>
      </c>
      <c r="H5" s="43" t="s">
        <v>5</v>
      </c>
      <c r="I5" s="43"/>
      <c r="J5" s="43"/>
      <c r="K5" s="47"/>
      <c r="L5" s="47"/>
      <c r="M5" s="43" t="s">
        <v>6</v>
      </c>
      <c r="N5" s="43"/>
      <c r="O5" s="2" t="s">
        <v>7</v>
      </c>
    </row>
    <row r="6" spans="2:15" ht="20.100000000000001" customHeight="1" x14ac:dyDescent="0.25">
      <c r="B6" s="100"/>
      <c r="C6" s="100"/>
      <c r="D6" s="100"/>
      <c r="E6" s="100"/>
      <c r="F6" s="100"/>
      <c r="G6" s="100"/>
      <c r="H6" s="100"/>
      <c r="I6" s="100"/>
      <c r="J6" s="100"/>
      <c r="K6" s="100"/>
      <c r="L6" s="100"/>
      <c r="M6" s="100"/>
      <c r="N6" s="100"/>
      <c r="O6" s="100"/>
    </row>
    <row r="7" spans="2:15" ht="20.100000000000001" customHeight="1" thickBot="1" x14ac:dyDescent="0.3">
      <c r="B7" s="101" t="s">
        <v>8</v>
      </c>
      <c r="C7" s="101"/>
      <c r="D7" s="101"/>
      <c r="E7" s="101"/>
      <c r="F7" s="101"/>
      <c r="G7" s="101"/>
      <c r="H7" s="101"/>
      <c r="I7" s="101"/>
      <c r="J7" s="101"/>
      <c r="K7" s="101"/>
      <c r="L7" s="101"/>
      <c r="M7" s="101"/>
      <c r="N7" s="101"/>
      <c r="O7" s="101"/>
    </row>
    <row r="8" spans="2:15" ht="30" customHeight="1" x14ac:dyDescent="0.25">
      <c r="B8" s="5" t="s">
        <v>9</v>
      </c>
      <c r="C8" s="102" t="s">
        <v>10</v>
      </c>
      <c r="D8" s="103"/>
      <c r="E8" s="103"/>
      <c r="F8" s="104"/>
      <c r="G8" s="6" t="s">
        <v>11</v>
      </c>
      <c r="H8" s="102">
        <v>2</v>
      </c>
      <c r="I8" s="104"/>
      <c r="J8" s="7" t="s">
        <v>12</v>
      </c>
      <c r="K8" s="29">
        <f>H8*16</f>
        <v>32</v>
      </c>
      <c r="L8" s="1" t="s">
        <v>13</v>
      </c>
      <c r="M8" s="29">
        <f>K8*2</f>
        <v>64</v>
      </c>
      <c r="N8" s="6" t="s">
        <v>14</v>
      </c>
      <c r="O8" s="8" t="s">
        <v>15</v>
      </c>
    </row>
    <row r="9" spans="2:15" ht="30" customHeight="1" x14ac:dyDescent="0.25">
      <c r="B9" s="9" t="s">
        <v>16</v>
      </c>
      <c r="C9" s="105" t="s">
        <v>17</v>
      </c>
      <c r="D9" s="106"/>
      <c r="E9" s="106"/>
      <c r="F9" s="106"/>
      <c r="G9" s="106"/>
      <c r="H9" s="106"/>
      <c r="I9" s="107"/>
      <c r="J9" s="10" t="s">
        <v>18</v>
      </c>
      <c r="K9" s="108" t="s">
        <v>19</v>
      </c>
      <c r="L9" s="109"/>
      <c r="M9" s="110"/>
      <c r="N9" s="11" t="s">
        <v>20</v>
      </c>
      <c r="O9" s="28">
        <v>14029100201</v>
      </c>
    </row>
    <row r="10" spans="2:15" ht="30" customHeight="1" thickBot="1" x14ac:dyDescent="0.3">
      <c r="B10" s="12" t="s">
        <v>21</v>
      </c>
      <c r="C10" s="91" t="s">
        <v>22</v>
      </c>
      <c r="D10" s="92"/>
      <c r="E10" s="92"/>
      <c r="F10" s="92"/>
      <c r="G10" s="92"/>
      <c r="H10" s="92"/>
      <c r="I10" s="92"/>
      <c r="J10" s="92"/>
      <c r="K10" s="92"/>
      <c r="L10" s="92"/>
      <c r="M10" s="92"/>
      <c r="N10" s="92"/>
      <c r="O10" s="27"/>
    </row>
    <row r="11" spans="2:15" ht="55.5" customHeight="1" thickBot="1" x14ac:dyDescent="0.3">
      <c r="B11" s="13" t="s">
        <v>23</v>
      </c>
      <c r="C11" s="93" t="s">
        <v>24</v>
      </c>
      <c r="D11" s="93"/>
      <c r="E11" s="93"/>
      <c r="F11" s="93"/>
      <c r="G11" s="93"/>
      <c r="H11" s="93"/>
      <c r="I11" s="93"/>
      <c r="J11" s="93"/>
      <c r="K11" s="93"/>
      <c r="L11" s="93"/>
      <c r="M11" s="93"/>
      <c r="N11" s="93"/>
      <c r="O11" s="94"/>
    </row>
    <row r="12" spans="2:15" ht="30" customHeight="1" x14ac:dyDescent="0.25">
      <c r="B12" s="95" t="s">
        <v>25</v>
      </c>
      <c r="C12" s="96"/>
      <c r="D12" s="97" t="s">
        <v>26</v>
      </c>
      <c r="E12" s="98"/>
      <c r="F12" s="98"/>
      <c r="G12" s="96"/>
      <c r="H12" s="97" t="s">
        <v>27</v>
      </c>
      <c r="I12" s="98"/>
      <c r="J12" s="98"/>
      <c r="K12" s="98" t="s">
        <v>28</v>
      </c>
      <c r="L12" s="98"/>
      <c r="M12" s="96"/>
      <c r="N12" s="97" t="s">
        <v>29</v>
      </c>
      <c r="O12" s="99"/>
    </row>
    <row r="13" spans="2:15" ht="30" customHeight="1" x14ac:dyDescent="0.25">
      <c r="B13" s="89" t="s">
        <v>30</v>
      </c>
      <c r="C13" s="89"/>
      <c r="D13" s="90" t="s">
        <v>31</v>
      </c>
      <c r="E13" s="90"/>
      <c r="F13" s="90"/>
      <c r="G13" s="90"/>
      <c r="H13" s="90" t="s">
        <v>32</v>
      </c>
      <c r="I13" s="90"/>
      <c r="J13" s="90"/>
      <c r="K13" s="90" t="s">
        <v>33</v>
      </c>
      <c r="L13" s="90"/>
      <c r="M13" s="90"/>
      <c r="N13" s="90" t="s">
        <v>34</v>
      </c>
      <c r="O13" s="90"/>
    </row>
    <row r="14" spans="2:15" ht="30" customHeight="1" x14ac:dyDescent="0.25">
      <c r="B14" s="89"/>
      <c r="C14" s="89"/>
      <c r="D14" s="90"/>
      <c r="E14" s="90"/>
      <c r="F14" s="90"/>
      <c r="G14" s="90"/>
      <c r="H14" s="90"/>
      <c r="I14" s="90"/>
      <c r="J14" s="90"/>
      <c r="K14" s="90"/>
      <c r="L14" s="90"/>
      <c r="M14" s="90"/>
      <c r="N14" s="90"/>
      <c r="O14" s="90"/>
    </row>
    <row r="15" spans="2:15" ht="30" customHeight="1" x14ac:dyDescent="0.25">
      <c r="B15" s="89"/>
      <c r="C15" s="89"/>
      <c r="D15" s="90"/>
      <c r="E15" s="90"/>
      <c r="F15" s="90"/>
      <c r="G15" s="90"/>
      <c r="H15" s="90"/>
      <c r="I15" s="90"/>
      <c r="J15" s="90"/>
      <c r="K15" s="90"/>
      <c r="L15" s="90"/>
      <c r="M15" s="90"/>
      <c r="N15" s="90"/>
      <c r="O15" s="90"/>
    </row>
    <row r="16" spans="2:15" ht="30" customHeight="1" x14ac:dyDescent="0.25">
      <c r="B16" s="89"/>
      <c r="C16" s="89"/>
      <c r="D16" s="90"/>
      <c r="E16" s="90"/>
      <c r="F16" s="90"/>
      <c r="G16" s="90"/>
      <c r="H16" s="90"/>
      <c r="I16" s="90"/>
      <c r="J16" s="90"/>
      <c r="K16" s="90"/>
      <c r="L16" s="90"/>
      <c r="M16" s="90"/>
      <c r="N16" s="90"/>
      <c r="O16" s="90"/>
    </row>
    <row r="17" spans="2:15" ht="30" customHeight="1" x14ac:dyDescent="0.25">
      <c r="B17" s="76" t="s">
        <v>35</v>
      </c>
      <c r="C17" s="78" t="s">
        <v>36</v>
      </c>
      <c r="D17" s="80" t="s">
        <v>37</v>
      </c>
      <c r="E17" s="81"/>
      <c r="F17" s="82"/>
      <c r="G17" s="83" t="s">
        <v>38</v>
      </c>
      <c r="H17" s="84"/>
      <c r="I17" s="58" t="s">
        <v>39</v>
      </c>
      <c r="J17" s="62"/>
      <c r="K17" s="58" t="s">
        <v>40</v>
      </c>
      <c r="L17" s="59"/>
      <c r="M17" s="58" t="s">
        <v>41</v>
      </c>
      <c r="N17" s="62"/>
      <c r="O17" s="64" t="s">
        <v>42</v>
      </c>
    </row>
    <row r="18" spans="2:15" ht="15" customHeight="1" thickBot="1" x14ac:dyDescent="0.3">
      <c r="B18" s="77"/>
      <c r="C18" s="79"/>
      <c r="D18" s="16" t="s">
        <v>43</v>
      </c>
      <c r="E18" s="16" t="s">
        <v>44</v>
      </c>
      <c r="F18" s="16" t="s">
        <v>45</v>
      </c>
      <c r="G18" s="85"/>
      <c r="H18" s="86"/>
      <c r="I18" s="60"/>
      <c r="J18" s="63"/>
      <c r="K18" s="60"/>
      <c r="L18" s="61"/>
      <c r="M18" s="60"/>
      <c r="N18" s="63"/>
      <c r="O18" s="65"/>
    </row>
    <row r="19" spans="2:15" ht="164.25" customHeight="1" x14ac:dyDescent="0.25">
      <c r="B19" s="66" t="s">
        <v>46</v>
      </c>
      <c r="C19" s="30" t="s">
        <v>47</v>
      </c>
      <c r="D19" s="31" t="s">
        <v>48</v>
      </c>
      <c r="E19" s="31" t="s">
        <v>49</v>
      </c>
      <c r="F19" s="31" t="s">
        <v>50</v>
      </c>
      <c r="G19" s="67" t="s">
        <v>51</v>
      </c>
      <c r="H19" s="68"/>
      <c r="I19" s="71" t="s">
        <v>52</v>
      </c>
      <c r="J19" s="72"/>
      <c r="K19" s="71" t="s">
        <v>53</v>
      </c>
      <c r="L19" s="72"/>
      <c r="M19" s="71" t="s">
        <v>54</v>
      </c>
      <c r="N19" s="72"/>
      <c r="O19" s="75" t="s">
        <v>55</v>
      </c>
    </row>
    <row r="20" spans="2:15" ht="164.25" customHeight="1" x14ac:dyDescent="0.25">
      <c r="B20" s="66"/>
      <c r="C20" s="32" t="s">
        <v>56</v>
      </c>
      <c r="D20" s="35" t="s">
        <v>57</v>
      </c>
      <c r="E20" s="35" t="s">
        <v>58</v>
      </c>
      <c r="F20" s="35" t="s">
        <v>59</v>
      </c>
      <c r="G20" s="69"/>
      <c r="H20" s="70"/>
      <c r="I20" s="73"/>
      <c r="J20" s="74"/>
      <c r="K20" s="73"/>
      <c r="L20" s="74"/>
      <c r="M20" s="73"/>
      <c r="N20" s="74"/>
      <c r="O20" s="75"/>
    </row>
    <row r="21" spans="2:15" ht="164.25" customHeight="1" x14ac:dyDescent="0.25">
      <c r="B21" s="66"/>
      <c r="C21" s="33" t="s">
        <v>60</v>
      </c>
      <c r="D21" s="36" t="s">
        <v>61</v>
      </c>
      <c r="E21" s="36" t="s">
        <v>62</v>
      </c>
      <c r="F21" s="36" t="s">
        <v>63</v>
      </c>
      <c r="G21" s="69"/>
      <c r="H21" s="70"/>
      <c r="I21" s="73"/>
      <c r="J21" s="74"/>
      <c r="K21" s="73"/>
      <c r="L21" s="74"/>
      <c r="M21" s="73"/>
      <c r="N21" s="74"/>
      <c r="O21" s="75"/>
    </row>
    <row r="22" spans="2:15" ht="164.25" customHeight="1" x14ac:dyDescent="0.25">
      <c r="B22" s="66"/>
      <c r="C22" s="33" t="s">
        <v>64</v>
      </c>
      <c r="D22" s="36" t="s">
        <v>65</v>
      </c>
      <c r="E22" s="36" t="s">
        <v>66</v>
      </c>
      <c r="F22" s="36" t="s">
        <v>67</v>
      </c>
      <c r="G22" s="69"/>
      <c r="H22" s="70"/>
      <c r="I22" s="73"/>
      <c r="J22" s="74"/>
      <c r="K22" s="73"/>
      <c r="L22" s="74"/>
      <c r="M22" s="73"/>
      <c r="N22" s="74"/>
      <c r="O22" s="75"/>
    </row>
    <row r="23" spans="2:15" ht="164.25" customHeight="1" thickBot="1" x14ac:dyDescent="0.3">
      <c r="B23" s="66"/>
      <c r="C23" s="34" t="s">
        <v>68</v>
      </c>
      <c r="D23" s="37" t="s">
        <v>69</v>
      </c>
      <c r="E23" s="37" t="s">
        <v>70</v>
      </c>
      <c r="F23" s="37" t="s">
        <v>71</v>
      </c>
      <c r="G23" s="69"/>
      <c r="H23" s="70"/>
      <c r="I23" s="73"/>
      <c r="J23" s="74"/>
      <c r="K23" s="73"/>
      <c r="L23" s="74"/>
      <c r="M23" s="73"/>
      <c r="N23" s="74"/>
      <c r="O23" s="75"/>
    </row>
    <row r="24" spans="2:15" ht="15.75" hidden="1" thickBot="1" x14ac:dyDescent="0.3">
      <c r="B24" s="17"/>
      <c r="C24" s="18"/>
      <c r="D24" s="19"/>
      <c r="E24" s="19"/>
      <c r="F24" s="19"/>
      <c r="G24" s="19"/>
      <c r="H24" s="19"/>
      <c r="I24" s="19"/>
      <c r="J24"/>
      <c r="K24"/>
      <c r="L24"/>
      <c r="M24"/>
      <c r="N24"/>
      <c r="O24" s="20"/>
    </row>
    <row r="25" spans="2:15" ht="15.75" hidden="1" thickBot="1" x14ac:dyDescent="0.3">
      <c r="B25" s="17"/>
      <c r="C25" s="18"/>
      <c r="D25" s="19"/>
      <c r="E25" s="19"/>
      <c r="F25" s="19"/>
      <c r="G25" s="19"/>
      <c r="H25" s="19"/>
      <c r="I25" s="19"/>
      <c r="J25"/>
      <c r="K25"/>
      <c r="L25"/>
      <c r="M25"/>
      <c r="N25"/>
      <c r="O25" s="20"/>
    </row>
    <row r="26" spans="2:15" ht="15.75" hidden="1" thickBot="1" x14ac:dyDescent="0.3">
      <c r="B26" s="17"/>
      <c r="C26" s="18"/>
      <c r="D26" s="19"/>
      <c r="E26" s="19"/>
      <c r="F26" s="19"/>
      <c r="G26" s="19"/>
      <c r="H26" s="19"/>
      <c r="I26" s="19"/>
      <c r="J26"/>
      <c r="K26"/>
      <c r="L26"/>
      <c r="M26"/>
      <c r="N26"/>
      <c r="O26" s="20"/>
    </row>
    <row r="27" spans="2:15" ht="15.75" hidden="1" thickBot="1" x14ac:dyDescent="0.3">
      <c r="B27" s="17"/>
      <c r="C27" s="18"/>
      <c r="D27" s="19"/>
      <c r="E27" s="19"/>
      <c r="F27" s="19"/>
      <c r="G27" s="19"/>
      <c r="H27" s="19"/>
      <c r="I27" s="19"/>
      <c r="J27"/>
      <c r="K27"/>
      <c r="L27"/>
      <c r="M27"/>
      <c r="N27"/>
      <c r="O27" s="20"/>
    </row>
    <row r="28" spans="2:15" ht="15.75" hidden="1" thickBot="1" x14ac:dyDescent="0.3">
      <c r="B28" s="17"/>
      <c r="C28" s="18"/>
      <c r="D28" s="19"/>
      <c r="E28" s="19"/>
      <c r="F28" s="19"/>
      <c r="G28" s="19"/>
      <c r="H28" s="19"/>
      <c r="I28" s="19"/>
      <c r="J28"/>
      <c r="K28"/>
      <c r="L28"/>
      <c r="M28"/>
      <c r="N28"/>
      <c r="O28" s="20"/>
    </row>
    <row r="29" spans="2:15" ht="15.75" hidden="1" thickBot="1" x14ac:dyDescent="0.3">
      <c r="B29" s="17"/>
      <c r="C29" s="18"/>
      <c r="D29" s="19"/>
      <c r="E29" s="19"/>
      <c r="F29" s="19"/>
      <c r="G29" s="19"/>
      <c r="H29" s="19"/>
      <c r="I29" s="19"/>
      <c r="J29"/>
      <c r="K29"/>
      <c r="L29"/>
      <c r="M29"/>
      <c r="N29"/>
      <c r="O29" s="20"/>
    </row>
    <row r="30" spans="2:15" ht="15.75" hidden="1" thickBot="1" x14ac:dyDescent="0.3">
      <c r="B30" s="21"/>
      <c r="C30" s="22"/>
      <c r="D30" s="19"/>
      <c r="E30" s="19"/>
      <c r="F30" s="19"/>
      <c r="G30" s="19"/>
      <c r="H30" s="19"/>
      <c r="I30" s="19"/>
      <c r="J30"/>
      <c r="K30"/>
      <c r="L30"/>
      <c r="M30"/>
      <c r="N30"/>
      <c r="O30" s="20"/>
    </row>
    <row r="31" spans="2:15" ht="173.25" customHeight="1" x14ac:dyDescent="0.25">
      <c r="B31" s="14" t="s">
        <v>72</v>
      </c>
      <c r="C31" s="48" t="s">
        <v>73</v>
      </c>
      <c r="D31" s="49"/>
      <c r="E31" s="49"/>
      <c r="F31" s="49"/>
      <c r="G31" s="49"/>
      <c r="H31" s="49"/>
      <c r="I31" s="49"/>
      <c r="J31" s="49"/>
      <c r="K31" s="49"/>
      <c r="L31" s="49"/>
      <c r="M31" s="49"/>
      <c r="N31" s="49"/>
      <c r="O31" s="50"/>
    </row>
    <row r="32" spans="2:15" ht="149.25" customHeight="1" thickBot="1" x14ac:dyDescent="0.3">
      <c r="B32" s="15" t="s">
        <v>74</v>
      </c>
      <c r="C32" s="51" t="s">
        <v>75</v>
      </c>
      <c r="D32" s="51"/>
      <c r="E32" s="51"/>
      <c r="F32" s="51"/>
      <c r="G32" s="51"/>
      <c r="H32" s="51"/>
      <c r="I32" s="51"/>
      <c r="J32" s="51"/>
      <c r="K32" s="51"/>
      <c r="L32" s="51"/>
      <c r="M32" s="51"/>
      <c r="N32" s="51"/>
      <c r="O32" s="52"/>
    </row>
    <row r="34" spans="2:15" ht="24.75" customHeight="1" x14ac:dyDescent="0.25">
      <c r="B34" s="53" t="s">
        <v>76</v>
      </c>
      <c r="C34" s="54"/>
      <c r="D34" s="54"/>
      <c r="E34" s="54"/>
      <c r="F34" s="54"/>
      <c r="G34" s="54"/>
      <c r="H34" s="54"/>
      <c r="I34" s="54"/>
      <c r="J34" s="54"/>
      <c r="K34" s="54"/>
      <c r="L34" s="54"/>
      <c r="M34" s="54"/>
      <c r="N34" s="54"/>
      <c r="O34" s="54"/>
    </row>
    <row r="35" spans="2:15" ht="24.75" customHeight="1" x14ac:dyDescent="0.25">
      <c r="B35" s="38" t="s">
        <v>4</v>
      </c>
      <c r="C35" s="38"/>
      <c r="D35" s="55" t="s">
        <v>77</v>
      </c>
      <c r="E35" s="55"/>
      <c r="F35" s="55"/>
      <c r="G35" s="55"/>
      <c r="H35" s="45"/>
      <c r="I35" s="23"/>
      <c r="J35" s="38" t="s">
        <v>78</v>
      </c>
      <c r="K35" s="38"/>
      <c r="L35" s="38"/>
      <c r="M35" s="38"/>
      <c r="N35" s="38"/>
      <c r="O35" s="38"/>
    </row>
    <row r="36" spans="2:15" ht="24.75" customHeight="1" x14ac:dyDescent="0.25">
      <c r="B36" s="38"/>
      <c r="C36" s="38"/>
      <c r="D36" s="23" t="s">
        <v>79</v>
      </c>
      <c r="E36" s="24"/>
      <c r="F36" s="56" t="s">
        <v>80</v>
      </c>
      <c r="G36" s="57"/>
      <c r="H36" s="44" t="s">
        <v>81</v>
      </c>
      <c r="I36" s="45"/>
      <c r="J36" s="38"/>
      <c r="K36" s="38"/>
      <c r="L36" s="38"/>
      <c r="M36" s="38"/>
      <c r="N36" s="38"/>
      <c r="O36" s="38"/>
    </row>
    <row r="37" spans="2:15" ht="24.75" customHeight="1" x14ac:dyDescent="0.25">
      <c r="B37" s="46">
        <v>1</v>
      </c>
      <c r="C37" s="46"/>
      <c r="D37" s="25"/>
      <c r="E37" s="25"/>
      <c r="F37" s="47"/>
      <c r="G37" s="47"/>
      <c r="H37" s="87"/>
      <c r="I37" s="88"/>
      <c r="J37" s="46" t="s">
        <v>82</v>
      </c>
      <c r="K37" s="46"/>
      <c r="L37" s="46"/>
      <c r="M37" s="46"/>
      <c r="N37" s="46"/>
      <c r="O37" s="46"/>
    </row>
    <row r="38" spans="2:15" ht="24.75" customHeight="1" x14ac:dyDescent="0.25">
      <c r="B38" s="26"/>
      <c r="G38" s="26"/>
      <c r="H38" s="26"/>
      <c r="I38" s="26"/>
    </row>
    <row r="39" spans="2:15" ht="24.75" customHeight="1" x14ac:dyDescent="0.25">
      <c r="B39" s="43" t="s">
        <v>83</v>
      </c>
      <c r="C39" s="43"/>
      <c r="D39" s="43"/>
      <c r="E39" s="43"/>
      <c r="F39" s="43"/>
      <c r="G39" s="43"/>
      <c r="H39" s="43"/>
      <c r="I39" s="43"/>
      <c r="J39" s="43"/>
      <c r="K39" s="43"/>
      <c r="L39" s="43"/>
      <c r="M39" s="43"/>
      <c r="N39" s="43"/>
      <c r="O39" s="43"/>
    </row>
    <row r="40" spans="2:15" ht="24.75" customHeight="1" x14ac:dyDescent="0.25">
      <c r="B40" s="43" t="s">
        <v>84</v>
      </c>
      <c r="C40" s="43"/>
      <c r="D40" s="43"/>
      <c r="E40" s="43"/>
      <c r="F40" s="43"/>
      <c r="G40" s="43"/>
      <c r="H40" s="43"/>
      <c r="I40" s="43"/>
      <c r="J40" s="43"/>
      <c r="K40" s="43"/>
      <c r="L40" s="43"/>
      <c r="M40" s="43"/>
      <c r="N40" s="43"/>
      <c r="O40" s="43"/>
    </row>
    <row r="41" spans="2:15" ht="24.75" customHeight="1" x14ac:dyDescent="0.25">
      <c r="B41" s="38" t="s">
        <v>85</v>
      </c>
      <c r="C41" s="38"/>
      <c r="D41" s="38"/>
      <c r="E41" s="38"/>
      <c r="F41" s="38"/>
      <c r="G41" s="38"/>
      <c r="H41" s="38" t="s">
        <v>86</v>
      </c>
      <c r="I41" s="38"/>
      <c r="J41" s="38"/>
      <c r="K41" s="38"/>
      <c r="L41" s="38"/>
      <c r="M41" s="38" t="s">
        <v>87</v>
      </c>
      <c r="N41" s="38"/>
      <c r="O41" s="38"/>
    </row>
    <row r="42" spans="2:15" ht="24.75" customHeight="1" x14ac:dyDescent="0.25">
      <c r="B42" s="39"/>
      <c r="C42" s="39"/>
      <c r="D42" s="39"/>
      <c r="E42" s="39"/>
      <c r="F42" s="39"/>
      <c r="G42" s="39"/>
      <c r="H42" s="39"/>
      <c r="I42" s="39"/>
      <c r="J42" s="39"/>
      <c r="K42" s="39"/>
      <c r="L42" s="39"/>
      <c r="M42" s="39"/>
      <c r="N42" s="39"/>
      <c r="O42" s="39"/>
    </row>
    <row r="43" spans="2:15" ht="24.75" customHeight="1" x14ac:dyDescent="0.25">
      <c r="B43" s="38" t="s">
        <v>88</v>
      </c>
      <c r="C43" s="38"/>
      <c r="D43" s="38"/>
      <c r="E43" s="38"/>
      <c r="F43" s="38"/>
      <c r="G43" s="38"/>
      <c r="H43" s="38"/>
      <c r="I43" s="38"/>
      <c r="J43" s="38"/>
      <c r="K43" s="38"/>
      <c r="L43" s="38"/>
      <c r="M43" s="38"/>
      <c r="N43" s="38"/>
      <c r="O43" s="38"/>
    </row>
    <row r="44" spans="2:15" ht="24.75" customHeight="1" x14ac:dyDescent="0.25">
      <c r="B44" s="38" t="s">
        <v>85</v>
      </c>
      <c r="C44" s="38"/>
      <c r="D44" s="38"/>
      <c r="E44" s="38"/>
      <c r="F44" s="38"/>
      <c r="G44" s="38"/>
      <c r="H44" s="38" t="s">
        <v>86</v>
      </c>
      <c r="I44" s="38"/>
      <c r="J44" s="38"/>
      <c r="K44" s="38"/>
      <c r="L44" s="38"/>
      <c r="M44" s="38" t="s">
        <v>87</v>
      </c>
      <c r="N44" s="38"/>
      <c r="O44" s="38"/>
    </row>
    <row r="45" spans="2:15" ht="24.75" customHeight="1" x14ac:dyDescent="0.25">
      <c r="B45" s="40" t="s">
        <v>89</v>
      </c>
      <c r="C45" s="41"/>
      <c r="D45" s="41"/>
      <c r="E45" s="41"/>
      <c r="F45" s="41"/>
      <c r="G45" s="42"/>
      <c r="H45" s="40" t="s">
        <v>90</v>
      </c>
      <c r="I45" s="41"/>
      <c r="J45" s="41"/>
      <c r="K45" s="41"/>
      <c r="L45" s="42"/>
      <c r="M45" s="40" t="s">
        <v>91</v>
      </c>
      <c r="N45" s="41"/>
      <c r="O45" s="42"/>
    </row>
    <row r="46" spans="2:15" ht="24.75" customHeight="1" x14ac:dyDescent="0.25">
      <c r="B46" s="38" t="s">
        <v>92</v>
      </c>
      <c r="C46" s="38"/>
      <c r="D46" s="38"/>
      <c r="E46" s="38"/>
      <c r="F46" s="38"/>
      <c r="G46" s="38"/>
      <c r="H46" s="38"/>
      <c r="I46" s="38"/>
      <c r="J46" s="38"/>
      <c r="K46" s="38"/>
      <c r="L46" s="38"/>
      <c r="M46" s="38"/>
      <c r="N46" s="38"/>
      <c r="O46" s="38"/>
    </row>
    <row r="47" spans="2:15" ht="24.75" customHeight="1" x14ac:dyDescent="0.25">
      <c r="B47" s="38" t="s">
        <v>85</v>
      </c>
      <c r="C47" s="38"/>
      <c r="D47" s="38"/>
      <c r="E47" s="38"/>
      <c r="F47" s="38"/>
      <c r="G47" s="38"/>
      <c r="H47" s="38" t="s">
        <v>86</v>
      </c>
      <c r="I47" s="38"/>
      <c r="J47" s="38"/>
      <c r="K47" s="38"/>
      <c r="L47" s="38"/>
      <c r="M47" s="38" t="s">
        <v>87</v>
      </c>
      <c r="N47" s="38"/>
      <c r="O47" s="38"/>
    </row>
    <row r="48" spans="2:15" ht="24.75" customHeight="1" x14ac:dyDescent="0.25">
      <c r="B48" s="39"/>
      <c r="C48" s="39"/>
      <c r="D48" s="39"/>
      <c r="E48" s="39"/>
      <c r="F48" s="39"/>
      <c r="G48" s="39"/>
      <c r="H48" s="39"/>
      <c r="I48" s="39"/>
      <c r="J48" s="39"/>
      <c r="K48" s="39"/>
      <c r="L48" s="39"/>
      <c r="M48" s="39"/>
      <c r="N48" s="39"/>
      <c r="O48" s="39"/>
    </row>
  </sheetData>
  <mergeCells count="73">
    <mergeCell ref="B2:B4"/>
    <mergeCell ref="C2:O2"/>
    <mergeCell ref="C3:O4"/>
    <mergeCell ref="D5:F5"/>
    <mergeCell ref="H5:J5"/>
    <mergeCell ref="K5:L5"/>
    <mergeCell ref="M5:N5"/>
    <mergeCell ref="B6:O6"/>
    <mergeCell ref="B7:O7"/>
    <mergeCell ref="C8:F8"/>
    <mergeCell ref="H8:I8"/>
    <mergeCell ref="C9:I9"/>
    <mergeCell ref="K9:M9"/>
    <mergeCell ref="C10:N10"/>
    <mergeCell ref="C11:O11"/>
    <mergeCell ref="B12:C12"/>
    <mergeCell ref="D12:G12"/>
    <mergeCell ref="H12:J12"/>
    <mergeCell ref="K12:M12"/>
    <mergeCell ref="N12:O12"/>
    <mergeCell ref="B13:C16"/>
    <mergeCell ref="D13:G16"/>
    <mergeCell ref="H13:J16"/>
    <mergeCell ref="K13:M16"/>
    <mergeCell ref="N13:O16"/>
    <mergeCell ref="B39:O39"/>
    <mergeCell ref="K17:L18"/>
    <mergeCell ref="M17:N18"/>
    <mergeCell ref="O17:O18"/>
    <mergeCell ref="B19:B23"/>
    <mergeCell ref="G19:H23"/>
    <mergeCell ref="I19:J23"/>
    <mergeCell ref="K19:L23"/>
    <mergeCell ref="M19:N23"/>
    <mergeCell ref="O19:O23"/>
    <mergeCell ref="B17:B18"/>
    <mergeCell ref="C17:C18"/>
    <mergeCell ref="D17:F17"/>
    <mergeCell ref="G17:H18"/>
    <mergeCell ref="I17:J18"/>
    <mergeCell ref="H37:I37"/>
    <mergeCell ref="H36:I36"/>
    <mergeCell ref="B37:C37"/>
    <mergeCell ref="F37:G37"/>
    <mergeCell ref="J37:O37"/>
    <mergeCell ref="C31:O31"/>
    <mergeCell ref="C32:O32"/>
    <mergeCell ref="B34:O34"/>
    <mergeCell ref="B35:C36"/>
    <mergeCell ref="D35:H35"/>
    <mergeCell ref="J35:O36"/>
    <mergeCell ref="F36:G36"/>
    <mergeCell ref="B40:O40"/>
    <mergeCell ref="B42:G42"/>
    <mergeCell ref="H42:L42"/>
    <mergeCell ref="M42:O42"/>
    <mergeCell ref="B43:O43"/>
    <mergeCell ref="B41:G41"/>
    <mergeCell ref="H41:L41"/>
    <mergeCell ref="M41:O41"/>
    <mergeCell ref="B44:G44"/>
    <mergeCell ref="H44:L44"/>
    <mergeCell ref="M44:O44"/>
    <mergeCell ref="B48:G48"/>
    <mergeCell ref="H48:L48"/>
    <mergeCell ref="M48:O48"/>
    <mergeCell ref="B45:G45"/>
    <mergeCell ref="H45:L45"/>
    <mergeCell ref="M45:O45"/>
    <mergeCell ref="B46:O46"/>
    <mergeCell ref="B47:G47"/>
    <mergeCell ref="H47:L47"/>
    <mergeCell ref="M47:O47"/>
  </mergeCells>
  <pageMargins left="0.7" right="0.7" top="0.75" bottom="0.75" header="0.3" footer="0.3"/>
  <pageSetup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Introduccion a la analitica de </vt:lpstr>
      <vt:lpstr>'Introduccion a la analitica de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Fulbia Emilia Cerón Gomez</dc:creator>
  <cp:keywords/>
  <dc:description/>
  <cp:lastModifiedBy>Fulbia Emilia Cerón Gomez</cp:lastModifiedBy>
  <cp:revision/>
  <dcterms:created xsi:type="dcterms:W3CDTF">2023-11-07T19:05:59Z</dcterms:created>
  <dcterms:modified xsi:type="dcterms:W3CDTF">2025-07-03T14:45:57Z</dcterms:modified>
  <cp:category/>
  <cp:contentStatus/>
</cp:coreProperties>
</file>